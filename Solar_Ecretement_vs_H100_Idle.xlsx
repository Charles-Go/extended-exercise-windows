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Solar_Profile" sheetId="3" state="visible" r:id="rId3"/>
    <sheet name="Price_Curve" sheetId="4" state="visible" r:id="rId4"/>
    <sheet name="GPU_Economics" sheetId="5" state="visible" r:id="rId5"/>
    <sheet name="Scenarios" sheetId="6" state="visible" r:id="rId6"/>
    <sheet name="Hourly_Model" sheetId="7" state="visible" r:id="rId7"/>
    <sheet name="Equilibrium" sheetId="8" state="visible" r:id="rId8"/>
    <sheet name="Sensitivity" sheetId="9" state="visible" r:id="rId9"/>
    <sheet name="Country_Compare" sheetId="10" state="visible" r:id="rId10"/>
    <sheet name="Dashboard" sheetId="11" state="visible" r:id="rId11"/>
    <sheet name="Hypotheses" sheetId="12" state="visible" r:id="rId12"/>
  </sheets>
  <definedNames>
    <definedName name="GPU_Capex">Inputs!$C$5</definedName>
    <definedName name="GPU_Life">Inputs!$C$6</definedName>
    <definedName name="GPU_Salvage">Inputs!$C$7</definedName>
    <definedName name="GPU_Power_Load_W">Inputs!$C$8</definedName>
    <definedName name="GPU_Power_Idle_W">Inputs!$C$9</definedName>
    <definedName name="PUE">Inputs!$C$10</definedName>
    <definedName name="Aux_Power_W">Inputs!$C$11</definedName>
    <definedName name="Avail">Inputs!$C$12</definedName>
    <definedName name="Rack_Capex">Inputs!$C$15</definedName>
    <definedName name="DC_Capex">Inputs!$C$16</definedName>
    <definedName name="OandM">Inputs!$C$17</definedName>
    <definedName name="GridFee_per_kWyr">Inputs!$C$18</definedName>
    <definedName name="WACC">Inputs!$C$19</definedName>
    <definedName name="Tax">Inputs!$C$20</definedName>
    <definedName name="Rev_per_hr">Inputs!$C$23</definedName>
    <definedName name="Util">Inputs!$C$24</definedName>
    <definedName name="Interrupt_Haircut">Inputs!$C$25</definedName>
    <definedName name="Floor_Price">Inputs!$C$26</definedName>
    <definedName name="Grid_Price">Inputs!$C$29</definedName>
    <definedName name="Curt_Price">Inputs!$C$30</definedName>
    <definedName name="Curt_Hr_Day">Inputs!$C$31</definedName>
    <definedName name="Curt_Days">Inputs!$C$32</definedName>
    <definedName name="PPA_Price">Inputs!$C$33</definedName>
    <definedName name="Carbon">Inputs!$C$34</definedName>
    <definedName name="Hrs_Daytime">Inputs!$C$37</definedName>
    <definedName name="Hrs_Curt">Inputs!$C$38</definedName>
    <definedName name="Fleet">Inputs!$C$39</definedName>
    <definedName name="Horizon">Inputs!$C$40</definedName>
    <definedName name="Curt_Threshold">Solar_Profile!$J$5</definedName>
    <definedName name="Total_Capex">GPU_Economics!$C$8</definedName>
    <definedName name="Fixed_Cost_GPU">GPU_Economics!$C$15</definedName>
    <definedName name="Load_kW">GPU_Economics!$C$19</definedName>
    <definedName name="Idle_kW">GPU_Economics!$C$20</definedName>
    <definedName name="Rev_Firm">GPU_Economics!$C$23</definedName>
    <definedName name="Rev_Interr">GPU_Economics!$C$24</definedName>
    <definedName name="EBITDA_A">Scenarios!$C$13</definedName>
    <definedName name="EBITDA_B">Scenarios!$D$13</definedName>
    <definedName name="EBITDA_C">Scenarios!$E$13</definedName>
    <definedName name="Idle_Hrs_C">Scenarios!$E$17</definedName>
    <definedName name="Hourly_EBITDA_A">Hourly_Model!$I$105</definedName>
    <definedName name="Hourly_EBITDA_B">Hourly_Model!$J$105</definedName>
    <definedName name="Hourly_EBITDA_C">Hourly_Model!$K$105</definedName>
  </definedNames>
  <calcPr calcId="124519" fullCalcOnLoad="1"/>
</workbook>
</file>

<file path=xl/styles.xml><?xml version="1.0" encoding="utf-8"?>
<styleSheet xmlns="http://schemas.openxmlformats.org/spreadsheetml/2006/main">
  <numFmts count="7">
    <numFmt numFmtId="164" formatCode="€#,##0"/>
    <numFmt numFmtId="165" formatCode="0.0"/>
    <numFmt numFmtId="166" formatCode="0.0%"/>
    <numFmt numFmtId="167" formatCode="€#,##0.00"/>
    <numFmt numFmtId="168" formatCode="0.000"/>
    <numFmt numFmtId="169" formatCode="#,##0.0"/>
    <numFmt numFmtId="170" formatCode="€#,##0;[Red]-€#,##0"/>
  </numFmts>
  <fonts count="8">
    <font>
      <name val="Calibri"/>
      <family val="2"/>
      <color theme="1"/>
      <sz val="11"/>
      <scheme val="minor"/>
    </font>
    <font>
      <b val="1"/>
      <color rgb="001F4E78"/>
      <sz val="22"/>
    </font>
    <font>
      <i val="1"/>
      <color rgb="00595959"/>
      <sz val="12"/>
    </font>
    <font>
      <b val="1"/>
      <color rgb="002E75B6"/>
      <sz val="12"/>
    </font>
    <font>
      <b val="1"/>
    </font>
    <font>
      <b val="1"/>
      <color rgb="001F4E78"/>
      <sz val="18"/>
    </font>
    <font>
      <b val="1"/>
      <color rgb="00FFFFFF"/>
    </font>
    <font>
      <i val="1"/>
      <color rgb="00595959"/>
    </font>
  </fonts>
  <fills count="9">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
      <patternFill patternType="solid">
        <fgColor rgb="00C6EFCE"/>
      </patternFill>
    </fill>
    <fill>
      <patternFill patternType="solid">
        <fgColor rgb="00F8CBAD"/>
      </patternFill>
    </fill>
    <fill>
      <patternFill patternType="solid">
        <fgColor rgb="001F4E78"/>
      </patternFill>
    </fill>
    <fill>
      <patternFill patternType="solid">
        <fgColor rgb="002E75B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pivotButton="0" quotePrefix="0" xfId="0"/>
    <xf numFmtId="0" fontId="0" fillId="0" borderId="0" applyAlignment="1" pivotButton="0" quotePrefix="0" xfId="0">
      <alignment horizontal="left" vertical="center" wrapText="1"/>
    </xf>
    <xf numFmtId="0" fontId="0" fillId="3" borderId="1" pivotButton="0" quotePrefix="0" xfId="0"/>
    <xf numFmtId="0" fontId="0" fillId="4" borderId="1" pivotButton="0" quotePrefix="0" xfId="0"/>
    <xf numFmtId="0" fontId="0" fillId="2" borderId="1" pivotButton="0" quotePrefix="0" xfId="0"/>
    <xf numFmtId="0" fontId="0" fillId="5" borderId="1" pivotButton="0" quotePrefix="0" xfId="0"/>
    <xf numFmtId="0" fontId="0" fillId="6" borderId="1" pivotButton="0" quotePrefix="0" xfId="0"/>
    <xf numFmtId="0" fontId="5" fillId="0" borderId="0" pivotButton="0" quotePrefix="0" xfId="0"/>
    <xf numFmtId="0" fontId="6" fillId="7" borderId="0" applyAlignment="1" pivotButton="0" quotePrefix="0" xfId="0">
      <alignment horizontal="center" vertical="center"/>
    </xf>
    <xf numFmtId="164" fontId="0" fillId="3" borderId="1" pivotButton="0" quotePrefix="0" xfId="0"/>
    <xf numFmtId="0" fontId="7" fillId="0" borderId="0" applyAlignment="1" pivotButton="0" quotePrefix="0" xfId="0">
      <alignment horizontal="left" vertical="center" wrapText="1"/>
    </xf>
    <xf numFmtId="165" fontId="0" fillId="3" borderId="1" pivotButton="0" quotePrefix="0" xfId="0"/>
    <xf numFmtId="9" fontId="0" fillId="3" borderId="1" pivotButton="0" quotePrefix="0" xfId="0"/>
    <xf numFmtId="1" fontId="0" fillId="3" borderId="1" pivotButton="0" quotePrefix="0" xfId="0"/>
    <xf numFmtId="2" fontId="0" fillId="3" borderId="1" pivotButton="0" quotePrefix="0" xfId="0"/>
    <xf numFmtId="166" fontId="0" fillId="3" borderId="1" pivotButton="0" quotePrefix="0" xfId="0"/>
    <xf numFmtId="167" fontId="0" fillId="3" borderId="1" pivotButton="0" quotePrefix="0" xfId="0"/>
    <xf numFmtId="3" fontId="0" fillId="3" borderId="1" pivotButton="0" quotePrefix="0" xfId="0"/>
    <xf numFmtId="0" fontId="7" fillId="0" borderId="0" pivotButton="0" quotePrefix="0" xfId="0"/>
    <xf numFmtId="0" fontId="6" fillId="8" borderId="1" applyAlignment="1" pivotButton="0" quotePrefix="0" xfId="0">
      <alignment horizontal="center" vertical="center"/>
    </xf>
    <xf numFmtId="0" fontId="4" fillId="0" borderId="0" applyAlignment="1" pivotButton="0" quotePrefix="0" xfId="0">
      <alignment horizontal="right" vertical="center"/>
    </xf>
    <xf numFmtId="0" fontId="0" fillId="0" borderId="0" applyAlignment="1" pivotButton="0" quotePrefix="0" xfId="0">
      <alignment horizontal="center" vertical="center"/>
    </xf>
    <xf numFmtId="2" fontId="0" fillId="4" borderId="1" pivotButton="0" quotePrefix="0" xfId="0"/>
    <xf numFmtId="1" fontId="0" fillId="4" borderId="1" pivotButton="0" quotePrefix="0" xfId="0"/>
    <xf numFmtId="0" fontId="4" fillId="0" borderId="0" pivotButton="0" quotePrefix="0" xfId="0"/>
    <xf numFmtId="165" fontId="0" fillId="4" borderId="1" pivotButton="0" quotePrefix="0" xfId="0"/>
    <xf numFmtId="164" fontId="0" fillId="4" borderId="1" pivotButton="0" quotePrefix="0" xfId="0"/>
    <xf numFmtId="0" fontId="7" fillId="0" borderId="0" applyAlignment="1" pivotButton="0" quotePrefix="0" xfId="0">
      <alignment vertical="top" wrapText="1"/>
    </xf>
    <xf numFmtId="0" fontId="4" fillId="0" borderId="0" applyAlignment="1" pivotButton="0" quotePrefix="0" xfId="0">
      <alignment horizontal="left" vertical="center" wrapText="1"/>
    </xf>
    <xf numFmtId="164" fontId="0" fillId="5" borderId="1" pivotButton="0" quotePrefix="0" xfId="0"/>
    <xf numFmtId="168" fontId="0" fillId="4" borderId="1" pivotButton="0" quotePrefix="0" xfId="0"/>
    <xf numFmtId="167" fontId="0" fillId="4" borderId="1" pivotButton="0" quotePrefix="0" xfId="0"/>
    <xf numFmtId="169" fontId="0" fillId="4" borderId="1" pivotButton="0" quotePrefix="0" xfId="0"/>
    <xf numFmtId="164" fontId="4" fillId="5" borderId="1" pivotButton="0" quotePrefix="0" xfId="0"/>
    <xf numFmtId="9" fontId="0" fillId="4" borderId="1" pivotButton="0" quotePrefix="0" xfId="0"/>
    <xf numFmtId="49" fontId="0" fillId="5" borderId="1" pivotButton="0" quotePrefix="0" xfId="0"/>
    <xf numFmtId="0" fontId="0" fillId="0" borderId="4" pivotButton="0" quotePrefix="0" xfId="0"/>
    <xf numFmtId="0" fontId="0" fillId="0" borderId="5" pivotButton="0" quotePrefix="0" xfId="0"/>
    <xf numFmtId="0" fontId="6" fillId="8" borderId="0" applyAlignment="1" pivotButton="0" quotePrefix="0" xfId="0">
      <alignment horizontal="center" vertical="center"/>
    </xf>
    <xf numFmtId="164" fontId="6" fillId="8" borderId="0" applyAlignment="1" pivotButton="0" quotePrefix="0" xfId="0">
      <alignment horizontal="center" vertical="center"/>
    </xf>
    <xf numFmtId="167" fontId="6" fillId="8" borderId="0" applyAlignment="1" pivotButton="0" quotePrefix="0" xfId="0">
      <alignment horizontal="center" vertical="center"/>
    </xf>
    <xf numFmtId="164" fontId="6" fillId="8" borderId="0" pivotButton="0" quotePrefix="0" xfId="0"/>
    <xf numFmtId="166" fontId="0" fillId="4" borderId="1" pivotButton="0" quotePrefix="0" xfId="0"/>
    <xf numFmtId="0" fontId="6" fillId="8"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center" vertical="center" wrapText="1"/>
    </xf>
    <xf numFmtId="170" fontId="4" fillId="5" borderId="1" applyAlignment="1" pivotButton="0" quotePrefix="0" xfId="0">
      <alignment horizontal="center" vertical="center" wrapText="1"/>
    </xf>
    <xf numFmtId="170" fontId="0" fillId="6" borderId="1" applyAlignment="1" pivotButton="0" quotePrefix="0" xfId="0">
      <alignment horizontal="center" vertical="center" wrapText="1"/>
    </xf>
    <xf numFmtId="170" fontId="0"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17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Solar capacity factor by hour (typical European day)</a:t>
            </a:r>
          </a:p>
        </rich>
      </tx>
    </title>
    <plotArea>
      <lineChart>
        <grouping val="standard"/>
        <ser>
          <idx val="0"/>
          <order val="0"/>
          <tx>
            <strRef>
              <f>'Solar_Profile'!C5</f>
            </strRef>
          </tx>
          <spPr>
            <a:ln>
              <a:prstDash val="solid"/>
            </a:ln>
          </spPr>
          <marker>
            <symbol val="none"/>
            <spPr>
              <a:ln>
                <a:prstDash val="solid"/>
              </a:ln>
            </spPr>
          </marker>
          <cat>
            <numRef>
              <f>'Solar_Profile'!$B$6:$B$29</f>
            </numRef>
          </cat>
          <val>
            <numRef>
              <f>'Solar_Profile'!$C$6:$C$29</f>
            </numRef>
          </val>
        </ser>
        <ser>
          <idx val="1"/>
          <order val="1"/>
          <tx>
            <strRef>
              <f>'Solar_Profile'!D5</f>
            </strRef>
          </tx>
          <spPr>
            <a:ln>
              <a:prstDash val="solid"/>
            </a:ln>
          </spPr>
          <marker>
            <symbol val="none"/>
            <spPr>
              <a:ln>
                <a:prstDash val="solid"/>
              </a:ln>
            </spPr>
          </marker>
          <cat>
            <numRef>
              <f>'Solar_Profile'!$B$6:$B$29</f>
            </numRef>
          </cat>
          <val>
            <numRef>
              <f>'Solar_Profile'!$D$6:$D$29</f>
            </numRef>
          </val>
        </ser>
        <ser>
          <idx val="2"/>
          <order val="2"/>
          <tx>
            <strRef>
              <f>'Solar_Profile'!E5</f>
            </strRef>
          </tx>
          <spPr>
            <a:ln>
              <a:prstDash val="solid"/>
            </a:ln>
          </spPr>
          <marker>
            <symbol val="none"/>
            <spPr>
              <a:ln>
                <a:prstDash val="solid"/>
              </a:ln>
            </spPr>
          </marker>
          <cat>
            <numRef>
              <f>'Solar_Profile'!$B$6:$B$29</f>
            </numRef>
          </cat>
          <val>
            <numRef>
              <f>'Solar_Profile'!$E$6:$E$29</f>
            </numRef>
          </val>
        </ser>
        <ser>
          <idx val="3"/>
          <order val="3"/>
          <tx>
            <strRef>
              <f>'Solar_Profile'!F5</f>
            </strRef>
          </tx>
          <spPr>
            <a:ln>
              <a:prstDash val="solid"/>
            </a:ln>
          </spPr>
          <marker>
            <symbol val="none"/>
            <spPr>
              <a:ln>
                <a:prstDash val="solid"/>
              </a:ln>
            </spPr>
          </marker>
          <cat>
            <numRef>
              <f>'Solar_Profile'!$B$6:$B$29</f>
            </numRef>
          </cat>
          <val>
            <numRef>
              <f>'Solar_Profile'!$F$6:$F$29</f>
            </numRef>
          </val>
        </ser>
        <ser>
          <idx val="4"/>
          <order val="4"/>
          <tx>
            <strRef>
              <f>'Solar_Profile'!G5</f>
            </strRef>
          </tx>
          <spPr>
            <a:ln>
              <a:prstDash val="solid"/>
            </a:ln>
          </spPr>
          <marker>
            <symbol val="none"/>
            <spPr>
              <a:ln>
                <a:prstDash val="solid"/>
              </a:ln>
            </spPr>
          </marker>
          <cat>
            <numRef>
              <f>'Solar_Profile'!$B$6:$B$29</f>
            </numRef>
          </cat>
          <val>
            <numRef>
              <f>'Solar_Profile'!$G$6:$G$29</f>
            </numRef>
          </val>
        </ser>
        <axId val="10"/>
        <axId val="100"/>
      </lineChart>
      <catAx>
        <axId val="10"/>
        <scaling>
          <orientation val="minMax"/>
        </scaling>
        <axPos val="l"/>
        <title>
          <tx>
            <rich>
              <a:bodyPr/>
              <a:p>
                <a:pPr>
                  <a:defRPr/>
                </a:pPr>
                <a:r>
                  <a:t>Hour of day</a:t>
                </a:r>
              </a:p>
            </rich>
          </tx>
        </title>
        <majorTickMark val="none"/>
        <minorTickMark val="none"/>
        <crossAx val="100"/>
        <lblOffset val="100"/>
      </catAx>
      <valAx>
        <axId val="100"/>
        <scaling>
          <orientation val="minMax"/>
        </scaling>
        <axPos val="l"/>
        <majorGridlines/>
        <title>
          <tx>
            <rich>
              <a:bodyPr/>
              <a:p>
                <a:pPr>
                  <a:defRPr/>
                </a:pPr>
                <a:r>
                  <a:t>Capacity factor</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Hourly spot price (€/MWh)</a:t>
            </a:r>
          </a:p>
        </rich>
      </tx>
    </title>
    <plotArea>
      <lineChart>
        <grouping val="standard"/>
        <ser>
          <idx val="0"/>
          <order val="0"/>
          <tx>
            <strRef>
              <f>'Price_Curve'!C5</f>
            </strRef>
          </tx>
          <spPr>
            <a:ln>
              <a:prstDash val="solid"/>
            </a:ln>
          </spPr>
          <marker>
            <symbol val="none"/>
            <spPr>
              <a:ln>
                <a:prstDash val="solid"/>
              </a:ln>
            </spPr>
          </marker>
          <cat>
            <numRef>
              <f>'Price_Curve'!$B$6:$B$29</f>
            </numRef>
          </cat>
          <val>
            <numRef>
              <f>'Price_Curve'!$C$6:$C$29</f>
            </numRef>
          </val>
        </ser>
        <ser>
          <idx val="1"/>
          <order val="1"/>
          <tx>
            <strRef>
              <f>'Price_Curve'!D5</f>
            </strRef>
          </tx>
          <spPr>
            <a:ln>
              <a:prstDash val="solid"/>
            </a:ln>
          </spPr>
          <marker>
            <symbol val="none"/>
            <spPr>
              <a:ln>
                <a:prstDash val="solid"/>
              </a:ln>
            </spPr>
          </marker>
          <cat>
            <numRef>
              <f>'Price_Curve'!$B$6:$B$29</f>
            </numRef>
          </cat>
          <val>
            <numRef>
              <f>'Price_Curve'!$D$6:$D$29</f>
            </numRef>
          </val>
        </ser>
        <ser>
          <idx val="2"/>
          <order val="2"/>
          <tx>
            <strRef>
              <f>'Price_Curve'!E5</f>
            </strRef>
          </tx>
          <spPr>
            <a:ln>
              <a:prstDash val="solid"/>
            </a:ln>
          </spPr>
          <marker>
            <symbol val="none"/>
            <spPr>
              <a:ln>
                <a:prstDash val="solid"/>
              </a:ln>
            </spPr>
          </marker>
          <cat>
            <numRef>
              <f>'Price_Curve'!$B$6:$B$29</f>
            </numRef>
          </cat>
          <val>
            <numRef>
              <f>'Price_Curve'!$E$6:$E$29</f>
            </numRef>
          </val>
        </ser>
        <ser>
          <idx val="3"/>
          <order val="3"/>
          <tx>
            <strRef>
              <f>'Price_Curve'!F5</f>
            </strRef>
          </tx>
          <spPr>
            <a:ln>
              <a:prstDash val="solid"/>
            </a:ln>
          </spPr>
          <marker>
            <symbol val="none"/>
            <spPr>
              <a:ln>
                <a:prstDash val="solid"/>
              </a:ln>
            </spPr>
          </marker>
          <cat>
            <numRef>
              <f>'Price_Curve'!$B$6:$B$29</f>
            </numRef>
          </cat>
          <val>
            <numRef>
              <f>'Price_Curve'!$F$6:$F$29</f>
            </numRef>
          </val>
        </ser>
        <axId val="10"/>
        <axId val="100"/>
      </lineChart>
      <catAx>
        <axId val="10"/>
        <scaling>
          <orientation val="minMax"/>
        </scaling>
        <axPos val="l"/>
        <title>
          <tx>
            <rich>
              <a:bodyPr/>
              <a:p>
                <a:pPr>
                  <a:defRPr/>
                </a:pPr>
                <a:r>
                  <a:t>Hour</a:t>
                </a:r>
              </a:p>
            </rich>
          </tx>
        </title>
        <majorTickMark val="none"/>
        <minorTickMark val="none"/>
        <crossAx val="100"/>
        <lblOffset val="100"/>
      </catAx>
      <valAx>
        <axId val="100"/>
        <scaling>
          <orientation val="minMax"/>
        </scaling>
        <axPos val="l"/>
        <majorGridlines/>
        <title>
          <tx>
            <rich>
              <a:bodyPr/>
              <a:p>
                <a:pPr>
                  <a:defRPr/>
                </a:pPr>
                <a:r>
                  <a:t>€/MWh</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EBITDA per GPU per year by scenario</a:t>
            </a:r>
          </a:p>
        </rich>
      </tx>
    </title>
    <plotArea>
      <barChart>
        <barDir val="col"/>
        <grouping val="clustered"/>
        <ser>
          <idx val="0"/>
          <order val="0"/>
          <spPr>
            <a:ln>
              <a:prstDash val="solid"/>
            </a:ln>
          </spPr>
          <cat>
            <numRef>
              <f>'Scenarios'!$C$5:$E$5</f>
            </numRef>
          </cat>
          <val>
            <numRef>
              <f>'Scenarios'!$C$13</f>
            </numRef>
          </val>
        </ser>
        <ser>
          <idx val="1"/>
          <order val="1"/>
          <spPr>
            <a:ln>
              <a:prstDash val="solid"/>
            </a:ln>
          </spPr>
          <cat>
            <numRef>
              <f>'Scenarios'!$C$5:$E$5</f>
            </numRef>
          </cat>
          <val>
            <numRef>
              <f>'Scenarios'!$D$13</f>
            </numRef>
          </val>
        </ser>
        <ser>
          <idx val="2"/>
          <order val="2"/>
          <spPr>
            <a:ln>
              <a:prstDash val="solid"/>
            </a:ln>
          </spPr>
          <cat>
            <numRef>
              <f>'Scenarios'!$C$5:$E$5</f>
            </numRef>
          </cat>
          <val>
            <numRef>
              <f>'Scenarios'!$E$13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EUR / GPU / year</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EBITDA / GPU / yr vs curtailment-window €/MWh</a:t>
            </a:r>
          </a:p>
        </rich>
      </tx>
    </title>
    <plotArea>
      <lineChart>
        <grouping val="standard"/>
        <ser>
          <idx val="0"/>
          <order val="0"/>
          <tx>
            <strRef>
              <f>'Equilibrium'!C5</f>
            </strRef>
          </tx>
          <spPr>
            <a:ln>
              <a:prstDash val="solid"/>
            </a:ln>
          </spPr>
          <marker>
            <symbol val="none"/>
            <spPr>
              <a:ln>
                <a:prstDash val="solid"/>
              </a:ln>
            </spPr>
          </marker>
          <cat>
            <numRef>
              <f>'Equilibrium'!$B$6:$B$26</f>
            </numRef>
          </cat>
          <val>
            <numRef>
              <f>'Equilibrium'!$C$6:$C$26</f>
            </numRef>
          </val>
        </ser>
        <ser>
          <idx val="1"/>
          <order val="1"/>
          <tx>
            <strRef>
              <f>'Equilibrium'!D5</f>
            </strRef>
          </tx>
          <spPr>
            <a:ln>
              <a:prstDash val="solid"/>
            </a:ln>
          </spPr>
          <marker>
            <symbol val="none"/>
            <spPr>
              <a:ln>
                <a:prstDash val="solid"/>
              </a:ln>
            </spPr>
          </marker>
          <cat>
            <numRef>
              <f>'Equilibrium'!$B$6:$B$26</f>
            </numRef>
          </cat>
          <val>
            <numRef>
              <f>'Equilibrium'!$D$6:$D$26</f>
            </numRef>
          </val>
        </ser>
        <ser>
          <idx val="2"/>
          <order val="2"/>
          <tx>
            <strRef>
              <f>'Equilibrium'!E5</f>
            </strRef>
          </tx>
          <spPr>
            <a:ln>
              <a:prstDash val="solid"/>
            </a:ln>
          </spPr>
          <marker>
            <symbol val="none"/>
            <spPr>
              <a:ln>
                <a:prstDash val="solid"/>
              </a:ln>
            </spPr>
          </marker>
          <cat>
            <numRef>
              <f>'Equilibrium'!$B$6:$B$26</f>
            </numRef>
          </cat>
          <val>
            <numRef>
              <f>'Equilibrium'!$E$6:$E$26</f>
            </numRef>
          </val>
        </ser>
        <axId val="10"/>
        <axId val="100"/>
      </lineChart>
      <catAx>
        <axId val="10"/>
        <scaling>
          <orientation val="minMax"/>
        </scaling>
        <axPos val="l"/>
        <title>
          <tx>
            <rich>
              <a:bodyPr/>
              <a:p>
                <a:pPr>
                  <a:defRPr/>
                </a:pPr>
                <a:r>
                  <a:t>Curtailment €/MWh</a:t>
                </a:r>
              </a:p>
            </rich>
          </tx>
        </title>
        <majorTickMark val="none"/>
        <minorTickMark val="none"/>
        <crossAx val="100"/>
        <lblOffset val="100"/>
      </catAx>
      <valAx>
        <axId val="100"/>
        <scaling>
          <orientation val="minMax"/>
        </scaling>
        <axPos val="l"/>
        <majorGridlines/>
        <title>
          <tx>
            <rich>
              <a:bodyPr/>
              <a:p>
                <a:pPr>
                  <a:defRPr/>
                </a:pPr>
                <a:r>
                  <a:t>EBITDA (€/GPU/yr)</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EBITDA / GPU / yr in curtailment-only mode, by country</a:t>
            </a:r>
          </a:p>
        </rich>
      </tx>
    </title>
    <plotArea>
      <barChart>
        <barDir val="bar"/>
        <grouping val="clustered"/>
        <ser>
          <idx val="0"/>
          <order val="0"/>
          <tx>
            <strRef>
              <f>'Country_Compare'!H5</f>
            </strRef>
          </tx>
          <spPr>
            <a:ln>
              <a:prstDash val="solid"/>
            </a:ln>
          </spPr>
          <cat>
            <numRef>
              <f>'Country_Compare'!$B$6:$B$11</f>
            </numRef>
          </cat>
          <val>
            <numRef>
              <f>'Country_Compare'!$H$6:$H$11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EBITDA / GPU / yr — Curtailment-only by hypothesis</a:t>
            </a:r>
          </a:p>
        </rich>
      </tx>
    </title>
    <plotArea>
      <barChart>
        <barDir val="bar"/>
        <grouping val="clustered"/>
        <ser>
          <idx val="0"/>
          <order val="0"/>
          <tx>
            <strRef>
              <f>'Hypotheses'!G5</f>
            </strRef>
          </tx>
          <spPr>
            <a:ln>
              <a:prstDash val="solid"/>
            </a:ln>
          </spPr>
          <cat>
            <numRef>
              <f>'Hypotheses'!$B$6:$B$17</f>
            </numRef>
          </cat>
          <val>
            <numRef>
              <f>'Hypotheses'!$G$6:$G$17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6</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26</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32</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13</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37</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_rels/sheet10.xml.rels><Relationships xmlns="http://schemas.openxmlformats.org/package/2006/relationships"><Relationship Type="http://schemas.openxmlformats.org/officeDocument/2006/relationships/drawing" Target="/xl/drawings/drawing5.xml" Id="rId1" /></Relationships>
</file>

<file path=xl/worksheets/_rels/sheet12.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B2:G37"/>
  <sheetViews>
    <sheetView showGridLines="0" zoomScale="110" workbookViewId="0">
      <selection activeCell="A1" sqref="A1"/>
    </sheetView>
  </sheetViews>
  <sheetFormatPr baseColWidth="8" defaultRowHeight="15"/>
  <cols>
    <col width="3" customWidth="1" min="1" max="1"/>
    <col width="28" customWidth="1" min="2" max="2"/>
    <col width="28" customWidth="1" min="3" max="3"/>
    <col width="28" customWidth="1" min="4" max="4"/>
    <col width="28" customWidth="1" min="5" max="5"/>
    <col width="28" customWidth="1" min="6" max="6"/>
    <col width="28" customWidth="1" min="7" max="7"/>
  </cols>
  <sheetData>
    <row r="2">
      <c r="B2" s="1" t="inlineStr">
        <is>
          <t>Solar Écrêtement (curtailment) vs. H100 Idle Cost</t>
        </is>
      </c>
    </row>
    <row r="3">
      <c r="B3" s="2" t="inlineStr">
        <is>
          <t>A financial-equilibrium model — Europe, daylight curtailment hours vs 24/7 GPU economics</t>
        </is>
      </c>
    </row>
    <row r="5">
      <c r="B5" s="3" t="inlineStr">
        <is>
          <t>The question</t>
        </is>
      </c>
    </row>
    <row r="6" ht="22" customHeight="1">
      <c r="B6" s="4" t="inlineStr">
        <is>
          <t>European solar farms increasingly experience écrêtement — curtailment driven by negative spot prices during midday peaks. At the same time, H100 GPUs cost ~$30–40k each and depreciate whether or not they are running. Can we make money by stranding GPUs at solar sites and only powering them during the curtailment window, accepting idle hours the rest of the day? At what electricity price, curtailment window length, and GPU rental rate does the equilibrium tip?</t>
        </is>
      </c>
    </row>
    <row r="7" ht="22" customHeight="1"/>
    <row r="8" ht="22" customHeight="1"/>
    <row r="9"/>
    <row r="11">
      <c r="B11" s="3" t="inlineStr">
        <is>
          <t>Model map</t>
        </is>
      </c>
    </row>
    <row r="12">
      <c r="B12" s="5" t="inlineStr">
        <is>
          <t>Inputs</t>
        </is>
      </c>
      <c r="C12" s="6" t="inlineStr">
        <is>
          <t>All editable assumptions (yellow cells). Change these and everything recalculates.</t>
        </is>
      </c>
    </row>
    <row r="13">
      <c r="B13" s="5" t="inlineStr">
        <is>
          <t>Solar_Profile</t>
        </is>
      </c>
      <c r="C13" s="6" t="inlineStr">
        <is>
          <t>Hourly solar capacity factor across the four seasons, with the curtailment window.</t>
        </is>
      </c>
    </row>
    <row r="14">
      <c r="B14" s="5" t="inlineStr">
        <is>
          <t>Price_Curve</t>
        </is>
      </c>
      <c r="C14" s="6" t="inlineStr">
        <is>
          <t>Hourly spot price by season, anchored to country averages and midday troughs.</t>
        </is>
      </c>
    </row>
    <row r="15">
      <c r="B15" s="5" t="inlineStr">
        <is>
          <t>GPU_Economics</t>
        </is>
      </c>
      <c r="C15" s="6" t="inlineStr">
        <is>
          <t>Per-GPU capex, depreciation, power draw, datacenter PUE, opex stack.</t>
        </is>
      </c>
    </row>
    <row r="16">
      <c r="B16" s="5" t="inlineStr">
        <is>
          <t>Scenarios</t>
        </is>
      </c>
      <c r="C16" s="6" t="inlineStr">
        <is>
          <t>Three operating modes side-by-side: 24/7, daytime-only, curtailment-only.</t>
        </is>
      </c>
    </row>
    <row r="17">
      <c r="B17" s="5" t="inlineStr">
        <is>
          <t>Hourly_Model</t>
        </is>
      </c>
      <c r="C17" s="6" t="inlineStr">
        <is>
          <t>Representative 96-hour year (4 seasons × 24h) scaled to 8,760h with hourly P&amp;L.</t>
        </is>
      </c>
    </row>
    <row r="18">
      <c r="B18" s="5" t="inlineStr">
        <is>
          <t>Equilibrium</t>
        </is>
      </c>
      <c r="C18" s="6" t="inlineStr">
        <is>
          <t>Break-even curves: at what electricity price / curtailment hours do the modes cross?</t>
        </is>
      </c>
    </row>
    <row r="19">
      <c r="B19" s="5" t="inlineStr">
        <is>
          <t>Sensitivity</t>
        </is>
      </c>
      <c r="C19" s="6" t="inlineStr">
        <is>
          <t>Two-way tables: GPU price × rental rate, and curtailment hours × idle penalty.</t>
        </is>
      </c>
    </row>
    <row r="20">
      <c r="B20" s="5" t="inlineStr">
        <is>
          <t>Country_Compare</t>
        </is>
      </c>
      <c r="C20" s="6" t="inlineStr">
        <is>
          <t>Germany, Spain, France, Netherlands, Italy, UK — negative-price hours and outcomes.</t>
        </is>
      </c>
    </row>
    <row r="21">
      <c r="B21" s="5" t="inlineStr">
        <is>
          <t>Dashboard</t>
        </is>
      </c>
      <c r="C21" s="6" t="inlineStr">
        <is>
          <t>Single-page answer: payback, NPV, IRR, and the equilibrium electricity price.</t>
        </is>
      </c>
    </row>
    <row r="24">
      <c r="B24" s="3" t="inlineStr">
        <is>
          <t>Color legend</t>
        </is>
      </c>
    </row>
    <row r="25">
      <c r="B25" s="7" t="n"/>
      <c r="C25" t="inlineStr">
        <is>
          <t>Input — edit me (yellow)</t>
        </is>
      </c>
    </row>
    <row r="26">
      <c r="B26" s="8" t="n"/>
      <c r="C26" t="inlineStr">
        <is>
          <t>Calculation (green)</t>
        </is>
      </c>
    </row>
    <row r="27">
      <c r="B27" s="9" t="n"/>
      <c r="C27" t="inlineStr">
        <is>
          <t>Cross-sheet link (blue)</t>
        </is>
      </c>
    </row>
    <row r="28">
      <c r="B28" s="10" t="n"/>
      <c r="C28" t="inlineStr">
        <is>
          <t>Favorable outcome</t>
        </is>
      </c>
    </row>
    <row r="29">
      <c r="B29" s="11" t="n"/>
      <c r="C29" t="inlineStr">
        <is>
          <t>Unfavorable outcome</t>
        </is>
      </c>
    </row>
    <row r="32">
      <c r="B32" s="3" t="inlineStr">
        <is>
          <t>Methodology in one paragraph</t>
        </is>
      </c>
    </row>
    <row r="33">
      <c r="B33" s="4" t="inlineStr">
        <is>
          <t>We model a single H100 (or a DGX-equivalent 8-GPU node) co-located at a European solar site that suffers curtailment. The plant offers electricity at the spot price during the curtailment window (often €0 or negative). Outside that window the GPU can either (a) buy grid power at retail and keep earning, or (b) sit idle. We compare 3 operating modes against the same capex stack. Revenue is benchmarked to H100 on-demand rental rates (a proxy for the value of FLOPs). The equilibrium is the electricity-price + curtailment-hours combination at which the curtailment-only mode equals 24/7 economics. All figures are in EUR; FX is held flat — this is a directional model, not a pricing sheet.</t>
        </is>
      </c>
    </row>
    <row r="34"/>
    <row r="35"/>
    <row r="36"/>
    <row r="37"/>
  </sheetData>
  <mergeCells count="15">
    <mergeCell ref="B3:G3"/>
    <mergeCell ref="B2:G2"/>
    <mergeCell ref="B6:G9"/>
    <mergeCell ref="C21:G21"/>
    <mergeCell ref="C20:G20"/>
    <mergeCell ref="C12:G12"/>
    <mergeCell ref="B5:G5"/>
    <mergeCell ref="C16:G16"/>
    <mergeCell ref="C15:G15"/>
    <mergeCell ref="B33:G37"/>
    <mergeCell ref="C19:G19"/>
    <mergeCell ref="C14:G14"/>
    <mergeCell ref="C13:G13"/>
    <mergeCell ref="C18:G18"/>
    <mergeCell ref="C17:G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40"/>
  <sheetViews>
    <sheetView showGridLines="0" workbookViewId="0">
      <selection activeCell="A1" sqref="A1"/>
    </sheetView>
  </sheetViews>
  <sheetFormatPr baseColWidth="8" defaultRowHeight="15"/>
  <cols>
    <col width="3" customWidth="1" min="1" max="1"/>
    <col width="42" customWidth="1" min="2" max="2"/>
    <col width="16" customWidth="1" min="3" max="3"/>
    <col width="16" customWidth="1" min="4" max="4"/>
    <col width="42" customWidth="1" min="5" max="5"/>
  </cols>
  <sheetData>
    <row r="2">
      <c r="B2" s="12" t="inlineStr">
        <is>
          <t>Master inputs — yellow cells drive every other sheet</t>
        </is>
      </c>
    </row>
    <row r="4">
      <c r="B4" s="13" t="inlineStr">
        <is>
          <t>GPU Hardware (per H100)</t>
        </is>
      </c>
    </row>
    <row r="5">
      <c r="B5" s="6" t="inlineStr">
        <is>
          <t>H100 capex (street price, EUR)</t>
        </is>
      </c>
      <c r="C5" s="14" t="n">
        <v>32000</v>
      </c>
      <c r="E5" s="15" t="inlineStr">
        <is>
          <t>Q4-2025 European street price for SXM5. Hopper has come off peak. Range €25k–€40k.</t>
        </is>
      </c>
    </row>
    <row r="6">
      <c r="B6" s="6" t="inlineStr">
        <is>
          <t>Useful life (years)</t>
        </is>
      </c>
      <c r="C6" s="16" t="n">
        <v>4</v>
      </c>
      <c r="E6" s="15" t="inlineStr">
        <is>
          <t>NVIDIA suggests 5; aggressive Blackwell roadmap argues 3–4.</t>
        </is>
      </c>
    </row>
    <row r="7">
      <c r="B7" s="6" t="inlineStr">
        <is>
          <t>Salvage value at end of life (% of capex)</t>
        </is>
      </c>
      <c r="C7" s="17" t="n">
        <v>0.1</v>
      </c>
      <c r="E7" s="15" t="inlineStr">
        <is>
          <t>Resale to crypto/CV inference shops. Bear case = 0%.</t>
        </is>
      </c>
    </row>
    <row r="8">
      <c r="B8" s="6" t="inlineStr">
        <is>
          <t>GPU power draw, full load (W)</t>
        </is>
      </c>
      <c r="C8" s="18" t="n">
        <v>700</v>
      </c>
      <c r="E8" s="15" t="inlineStr">
        <is>
          <t>H100 SXM5 TDP.</t>
        </is>
      </c>
    </row>
    <row r="9">
      <c r="B9" s="6" t="inlineStr">
        <is>
          <t>GPU power draw, idle (W)</t>
        </is>
      </c>
      <c r="C9" s="18" t="n">
        <v>90</v>
      </c>
      <c r="E9" s="15" t="inlineStr">
        <is>
          <t>Powered on, no kernels running.</t>
        </is>
      </c>
    </row>
    <row r="10">
      <c r="B10" s="6" t="inlineStr">
        <is>
          <t>Datacenter PUE</t>
        </is>
      </c>
      <c r="C10" s="19" t="n">
        <v>1.2</v>
      </c>
      <c r="E10" s="15" t="inlineStr">
        <is>
          <t>Modern liquid-cooled colo at a solar site, no chiller round-trip.</t>
        </is>
      </c>
    </row>
    <row r="11">
      <c r="B11" s="6" t="inlineStr">
        <is>
          <t>CPU/networking overhead allocated (W)</t>
        </is>
      </c>
      <c r="C11" s="18" t="n">
        <v>180</v>
      </c>
      <c r="E11" s="15" t="inlineStr">
        <is>
          <t>Per-GPU share of CPU, NIC, NVSwitch, fans.</t>
        </is>
      </c>
    </row>
    <row r="12">
      <c r="B12" s="6" t="inlineStr">
        <is>
          <t>Hardware availability</t>
        </is>
      </c>
      <c r="C12" s="17" t="n">
        <v>0.97</v>
      </c>
      <c r="E12" s="15" t="inlineStr">
        <is>
          <t>After failures, RMA, planned maintenance.</t>
        </is>
      </c>
    </row>
    <row r="14">
      <c r="B14" s="13" t="inlineStr">
        <is>
          <t>Site &amp; Datacenter (per GPU allocation)</t>
        </is>
      </c>
    </row>
    <row r="15">
      <c r="B15" s="6" t="inlineStr">
        <is>
          <t>Rack &amp; networking capex per GPU (EUR)</t>
        </is>
      </c>
      <c r="C15" s="14" t="n">
        <v>4500</v>
      </c>
      <c r="E15" s="15" t="inlineStr">
        <is>
          <t>Share of DGX-class server, NVSwitch, top-of-rack.</t>
        </is>
      </c>
    </row>
    <row r="16">
      <c r="B16" s="6" t="inlineStr">
        <is>
          <t>Modular datacenter capex per GPU (EUR)</t>
        </is>
      </c>
      <c r="C16" s="14" t="n">
        <v>3500</v>
      </c>
      <c r="E16" s="15" t="inlineStr">
        <is>
          <t>Container DC, cooling loop, transformer share, civils.</t>
        </is>
      </c>
    </row>
    <row r="17">
      <c r="B17" s="6" t="inlineStr">
        <is>
          <t>Annual O&amp;M per GPU (EUR)</t>
        </is>
      </c>
      <c r="C17" s="14" t="n">
        <v>1200</v>
      </c>
      <c r="E17" s="15" t="inlineStr">
        <is>
          <t>Maintenance, remote hands, monitoring, insurance.</t>
        </is>
      </c>
    </row>
    <row r="18">
      <c r="B18" s="6" t="inlineStr">
        <is>
          <t>Grid connection fee per kW-yr (EUR)</t>
        </is>
      </c>
      <c r="C18" s="14" t="n">
        <v>90</v>
      </c>
      <c r="E18" s="15" t="inlineStr">
        <is>
          <t>Most curtailment sites already have the connection paid by the solar farm.</t>
        </is>
      </c>
    </row>
    <row r="19">
      <c r="B19" s="6" t="inlineStr">
        <is>
          <t>Cost of capital (WACC)</t>
        </is>
      </c>
      <c r="C19" s="20" t="n">
        <v>0.1</v>
      </c>
      <c r="E19" s="15" t="inlineStr">
        <is>
          <t>Specialty infra; range 8–14%.</t>
        </is>
      </c>
    </row>
    <row r="20">
      <c r="B20" s="6" t="inlineStr">
        <is>
          <t>Corporate tax rate</t>
        </is>
      </c>
      <c r="C20" s="17" t="n">
        <v>0.25</v>
      </c>
      <c r="E20" s="15" t="inlineStr">
        <is>
          <t>EU-blended.</t>
        </is>
      </c>
    </row>
    <row r="22">
      <c r="B22" s="13" t="inlineStr">
        <is>
          <t>Revenue (H100 monetisation)</t>
        </is>
      </c>
    </row>
    <row r="23">
      <c r="B23" s="6" t="inlineStr">
        <is>
          <t>Effective H100 hourly rental (EUR/h)</t>
        </is>
      </c>
      <c r="C23" s="21" t="n">
        <v>2.2</v>
      </c>
      <c r="E23" s="15" t="inlineStr">
        <is>
          <t>Realised price net of broker / utilisation discount. On-demand list ~€2.50–4.</t>
        </is>
      </c>
    </row>
    <row r="24">
      <c r="B24" s="6" t="inlineStr">
        <is>
          <t>Utilisation when powered on</t>
        </is>
      </c>
      <c r="C24" s="17" t="n">
        <v>0.85</v>
      </c>
      <c r="E24" s="15" t="inlineStr">
        <is>
          <t>Fraction of powered hours sold.</t>
        </is>
      </c>
    </row>
    <row r="25">
      <c r="B25" s="6" t="inlineStr">
        <is>
          <t>Revenue haircut for interruptible workloads</t>
        </is>
      </c>
      <c r="C25" s="17" t="n">
        <v>0.3</v>
      </c>
      <c r="E25" s="15" t="inlineStr">
        <is>
          <t>Discount applied because curtailment-only mode is non-firm capacity.</t>
        </is>
      </c>
    </row>
    <row r="26">
      <c r="B26" s="6" t="inlineStr">
        <is>
          <t>Crypto/inference floor price (EUR/h)</t>
        </is>
      </c>
      <c r="C26" s="21" t="n">
        <v>0.4</v>
      </c>
      <c r="E26" s="15" t="inlineStr">
        <is>
          <t>Fallback when no AI tenant takes the hour.</t>
        </is>
      </c>
    </row>
    <row r="28">
      <c r="B28" s="13" t="inlineStr">
        <is>
          <t>Electricity &amp; curtailment regime</t>
        </is>
      </c>
    </row>
    <row r="29">
      <c r="B29" s="6" t="inlineStr">
        <is>
          <t>Average grid retail price (EUR/MWh)</t>
        </is>
      </c>
      <c r="C29" s="14" t="n">
        <v>140</v>
      </c>
      <c r="E29" s="15" t="inlineStr">
        <is>
          <t>EU blended industrial 2025 estimate.</t>
        </is>
      </c>
    </row>
    <row r="30">
      <c r="B30" s="6" t="inlineStr">
        <is>
          <t>Curtailment-window price (EUR/MWh)</t>
        </is>
      </c>
      <c r="C30" s="14" t="n">
        <v>-15</v>
      </c>
      <c r="E30" s="15" t="inlineStr">
        <is>
          <t>Avg spot during écrêtement — often negative.</t>
        </is>
      </c>
    </row>
    <row r="31">
      <c r="B31" s="6" t="inlineStr">
        <is>
          <t>Curtailment hours per day (peak season)</t>
        </is>
      </c>
      <c r="C31" s="16" t="n">
        <v>5</v>
      </c>
      <c r="E31" s="15" t="inlineStr">
        <is>
          <t>Hours/day with negative or sub-€10 prices in summer.</t>
        </is>
      </c>
    </row>
    <row r="32">
      <c r="B32" s="6" t="inlineStr">
        <is>
          <t>Curtailment days per year</t>
        </is>
      </c>
      <c r="C32" s="18" t="n">
        <v>180</v>
      </c>
      <c r="E32" s="15" t="inlineStr">
        <is>
          <t>Days/year that exhibit the curtailment pattern.</t>
        </is>
      </c>
    </row>
    <row r="33">
      <c r="B33" s="6" t="inlineStr">
        <is>
          <t>Behind-the-meter solar PPA (EUR/MWh)</t>
        </is>
      </c>
      <c r="C33" s="14" t="n">
        <v>25</v>
      </c>
      <c r="E33" s="15" t="inlineStr">
        <is>
          <t>Long-term PPA used outside curtailment window if BTM.</t>
        </is>
      </c>
    </row>
    <row r="34">
      <c r="B34" s="6" t="inlineStr">
        <is>
          <t>Carbon credit value (EUR/MWh avoided)</t>
        </is>
      </c>
      <c r="C34" s="14" t="n">
        <v>0</v>
      </c>
      <c r="E34" s="15" t="inlineStr">
        <is>
          <t>Set &gt;0 to credit displaced fossil generation.</t>
        </is>
      </c>
    </row>
    <row r="36">
      <c r="B36" s="13" t="inlineStr">
        <is>
          <t>Scenario toggles</t>
        </is>
      </c>
    </row>
    <row r="37">
      <c r="B37" s="6" t="inlineStr">
        <is>
          <t>Hours/day H100 powered on (daytime mode)</t>
        </is>
      </c>
      <c r="C37" s="16" t="n">
        <v>10</v>
      </c>
      <c r="E37" s="15" t="inlineStr">
        <is>
          <t>Daytime-only operating window.</t>
        </is>
      </c>
    </row>
    <row r="38">
      <c r="B38" s="6" t="inlineStr">
        <is>
          <t>Hours/day H100 powered on (curtailment mode)</t>
        </is>
      </c>
      <c r="C38" s="16" t="n">
        <v>5</v>
      </c>
      <c r="E38" s="15" t="inlineStr">
        <is>
          <t>Curtailment-only operating window.</t>
        </is>
      </c>
    </row>
    <row r="39">
      <c r="B39" s="6" t="inlineStr">
        <is>
          <t>Number of GPUs in fleet</t>
        </is>
      </c>
      <c r="C39" s="22" t="n">
        <v>1000</v>
      </c>
      <c r="E39" s="15" t="inlineStr">
        <is>
          <t>Used only for headline P&amp;L on dashboard.</t>
        </is>
      </c>
    </row>
    <row r="40">
      <c r="B40" s="6" t="inlineStr">
        <is>
          <t>Project horizon (years)</t>
        </is>
      </c>
      <c r="C40" s="18" t="n">
        <v>5</v>
      </c>
      <c r="E40" s="15" t="inlineStr">
        <is>
          <t>Used for NPV / IRR.</t>
        </is>
      </c>
    </row>
  </sheetData>
  <mergeCells count="6">
    <mergeCell ref="B36:E36"/>
    <mergeCell ref="B4:E4"/>
    <mergeCell ref="B2:E2"/>
    <mergeCell ref="B28:E28"/>
    <mergeCell ref="B22:E22"/>
    <mergeCell ref="B14:E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31"/>
  <sheetViews>
    <sheetView showGridLines="0" workbookViewId="0">
      <selection activeCell="A1" sqref="A1"/>
    </sheetView>
  </sheetViews>
  <sheetFormatPr baseColWidth="8" defaultRowHeight="15"/>
  <cols>
    <col width="3" customWidth="1" min="1" max="1"/>
    <col width="8" customWidth="1" min="2" max="2"/>
    <col width="14" customWidth="1" min="3" max="3"/>
    <col width="14" customWidth="1" min="4" max="4"/>
    <col width="14" customWidth="1" min="5" max="5"/>
    <col width="14" customWidth="1" min="6" max="6"/>
    <col width="16" customWidth="1" min="7" max="7"/>
    <col width="18" customWidth="1" min="8" max="8"/>
  </cols>
  <sheetData>
    <row r="2">
      <c r="B2" s="12" t="inlineStr">
        <is>
          <t>Hourly solar capacity factor &amp; curtailment window</t>
        </is>
      </c>
    </row>
    <row r="3">
      <c r="B3" s="23" t="inlineStr">
        <is>
          <t>Representative day per season. Curtailment flag = 1 when capacity factor exceeds the threshold.</t>
        </is>
      </c>
    </row>
    <row r="5">
      <c r="B5" s="24" t="inlineStr">
        <is>
          <t>Hour</t>
        </is>
      </c>
      <c r="C5" s="24" t="inlineStr">
        <is>
          <t>Winter CF</t>
        </is>
      </c>
      <c r="D5" s="24" t="inlineStr">
        <is>
          <t>Spring CF</t>
        </is>
      </c>
      <c r="E5" s="24" t="inlineStr">
        <is>
          <t>Summer CF</t>
        </is>
      </c>
      <c r="F5" s="24" t="inlineStr">
        <is>
          <t>Autumn CF</t>
        </is>
      </c>
      <c r="G5" s="24" t="inlineStr">
        <is>
          <t>Avg CF</t>
        </is>
      </c>
      <c r="H5" s="24" t="inlineStr">
        <is>
          <t>Curtailment flag (avg)</t>
        </is>
      </c>
      <c r="I5" s="25" t="inlineStr">
        <is>
          <t>Curtailment CF threshold:</t>
        </is>
      </c>
      <c r="J5" s="19" t="n">
        <v>0.55</v>
      </c>
    </row>
    <row r="6">
      <c r="B6" s="26" t="n">
        <v>0</v>
      </c>
      <c r="C6" s="19" t="n">
        <v>0</v>
      </c>
      <c r="D6" s="19" t="n">
        <v>0</v>
      </c>
      <c r="E6" s="19" t="n">
        <v>0</v>
      </c>
      <c r="F6" s="19" t="n">
        <v>0</v>
      </c>
      <c r="G6" s="27">
        <f>AVERAGE(C6:F6)</f>
        <v/>
      </c>
      <c r="H6" s="28">
        <f>IF(G6&gt;=Curt_Threshold,1,0)</f>
        <v/>
      </c>
    </row>
    <row r="7">
      <c r="B7" s="26" t="n">
        <v>1</v>
      </c>
      <c r="C7" s="19" t="n">
        <v>0</v>
      </c>
      <c r="D7" s="19" t="n">
        <v>0</v>
      </c>
      <c r="E7" s="19" t="n">
        <v>0</v>
      </c>
      <c r="F7" s="19" t="n">
        <v>0</v>
      </c>
      <c r="G7" s="27">
        <f>AVERAGE(C7:F7)</f>
        <v/>
      </c>
      <c r="H7" s="28">
        <f>IF(G7&gt;=Curt_Threshold,1,0)</f>
        <v/>
      </c>
    </row>
    <row r="8">
      <c r="B8" s="26" t="n">
        <v>2</v>
      </c>
      <c r="C8" s="19" t="n">
        <v>0</v>
      </c>
      <c r="D8" s="19" t="n">
        <v>0</v>
      </c>
      <c r="E8" s="19" t="n">
        <v>0</v>
      </c>
      <c r="F8" s="19" t="n">
        <v>0</v>
      </c>
      <c r="G8" s="27">
        <f>AVERAGE(C8:F8)</f>
        <v/>
      </c>
      <c r="H8" s="28">
        <f>IF(G8&gt;=Curt_Threshold,1,0)</f>
        <v/>
      </c>
    </row>
    <row r="9">
      <c r="B9" s="26" t="n">
        <v>3</v>
      </c>
      <c r="C9" s="19" t="n">
        <v>0</v>
      </c>
      <c r="D9" s="19" t="n">
        <v>0</v>
      </c>
      <c r="E9" s="19" t="n">
        <v>0</v>
      </c>
      <c r="F9" s="19" t="n">
        <v>0</v>
      </c>
      <c r="G9" s="27">
        <f>AVERAGE(C9:F9)</f>
        <v/>
      </c>
      <c r="H9" s="28">
        <f>IF(G9&gt;=Curt_Threshold,1,0)</f>
        <v/>
      </c>
    </row>
    <row r="10">
      <c r="B10" s="26" t="n">
        <v>4</v>
      </c>
      <c r="C10" s="19" t="n">
        <v>0</v>
      </c>
      <c r="D10" s="19" t="n">
        <v>0</v>
      </c>
      <c r="E10" s="19" t="n">
        <v>0.02</v>
      </c>
      <c r="F10" s="19" t="n">
        <v>0</v>
      </c>
      <c r="G10" s="27">
        <f>AVERAGE(C10:F10)</f>
        <v/>
      </c>
      <c r="H10" s="28">
        <f>IF(G10&gt;=Curt_Threshold,1,0)</f>
        <v/>
      </c>
    </row>
    <row r="11">
      <c r="B11" s="26" t="n">
        <v>5</v>
      </c>
      <c r="C11" s="19" t="n">
        <v>0</v>
      </c>
      <c r="D11" s="19" t="n">
        <v>0.02</v>
      </c>
      <c r="E11" s="19" t="n">
        <v>0.08</v>
      </c>
      <c r="F11" s="19" t="n">
        <v>0</v>
      </c>
      <c r="G11" s="27">
        <f>AVERAGE(C11:F11)</f>
        <v/>
      </c>
      <c r="H11" s="28">
        <f>IF(G11&gt;=Curt_Threshold,1,0)</f>
        <v/>
      </c>
    </row>
    <row r="12">
      <c r="B12" s="26" t="n">
        <v>6</v>
      </c>
      <c r="C12" s="19" t="n">
        <v>0</v>
      </c>
      <c r="D12" s="19" t="n">
        <v>0.08</v>
      </c>
      <c r="E12" s="19" t="n">
        <v>0.18</v>
      </c>
      <c r="F12" s="19" t="n">
        <v>0.02</v>
      </c>
      <c r="G12" s="27">
        <f>AVERAGE(C12:F12)</f>
        <v/>
      </c>
      <c r="H12" s="28">
        <f>IF(G12&gt;=Curt_Threshold,1,0)</f>
        <v/>
      </c>
    </row>
    <row r="13">
      <c r="B13" s="26" t="n">
        <v>7</v>
      </c>
      <c r="C13" s="19" t="n">
        <v>0.02</v>
      </c>
      <c r="D13" s="19" t="n">
        <v>0.18</v>
      </c>
      <c r="E13" s="19" t="n">
        <v>0.32</v>
      </c>
      <c r="F13" s="19" t="n">
        <v>0.1</v>
      </c>
      <c r="G13" s="27">
        <f>AVERAGE(C13:F13)</f>
        <v/>
      </c>
      <c r="H13" s="28">
        <f>IF(G13&gt;=Curt_Threshold,1,0)</f>
        <v/>
      </c>
    </row>
    <row r="14">
      <c r="B14" s="26" t="n">
        <v>8</v>
      </c>
      <c r="C14" s="19" t="n">
        <v>0.1</v>
      </c>
      <c r="D14" s="19" t="n">
        <v>0.3</v>
      </c>
      <c r="E14" s="19" t="n">
        <v>0.46</v>
      </c>
      <c r="F14" s="19" t="n">
        <v>0.22</v>
      </c>
      <c r="G14" s="27">
        <f>AVERAGE(C14:F14)</f>
        <v/>
      </c>
      <c r="H14" s="28">
        <f>IF(G14&gt;=Curt_Threshold,1,0)</f>
        <v/>
      </c>
    </row>
    <row r="15">
      <c r="B15" s="26" t="n">
        <v>9</v>
      </c>
      <c r="C15" s="19" t="n">
        <v>0.22</v>
      </c>
      <c r="D15" s="19" t="n">
        <v>0.45</v>
      </c>
      <c r="E15" s="19" t="n">
        <v>0.6</v>
      </c>
      <c r="F15" s="19" t="n">
        <v>0.38</v>
      </c>
      <c r="G15" s="27">
        <f>AVERAGE(C15:F15)</f>
        <v/>
      </c>
      <c r="H15" s="28">
        <f>IF(G15&gt;=Curt_Threshold,1,0)</f>
        <v/>
      </c>
    </row>
    <row r="16">
      <c r="B16" s="26" t="n">
        <v>10</v>
      </c>
      <c r="C16" s="19" t="n">
        <v>0.34</v>
      </c>
      <c r="D16" s="19" t="n">
        <v>0.58</v>
      </c>
      <c r="E16" s="19" t="n">
        <v>0.72</v>
      </c>
      <c r="F16" s="19" t="n">
        <v>0.52</v>
      </c>
      <c r="G16" s="27">
        <f>AVERAGE(C16:F16)</f>
        <v/>
      </c>
      <c r="H16" s="28">
        <f>IF(G16&gt;=Curt_Threshold,1,0)</f>
        <v/>
      </c>
    </row>
    <row r="17">
      <c r="B17" s="26" t="n">
        <v>11</v>
      </c>
      <c r="C17" s="19" t="n">
        <v>0.42</v>
      </c>
      <c r="D17" s="19" t="n">
        <v>0.68</v>
      </c>
      <c r="E17" s="19" t="n">
        <v>0.82</v>
      </c>
      <c r="F17" s="19" t="n">
        <v>0.62</v>
      </c>
      <c r="G17" s="27">
        <f>AVERAGE(C17:F17)</f>
        <v/>
      </c>
      <c r="H17" s="28">
        <f>IF(G17&gt;=Curt_Threshold,1,0)</f>
        <v/>
      </c>
    </row>
    <row r="18">
      <c r="B18" s="26" t="n">
        <v>12</v>
      </c>
      <c r="C18" s="19" t="n">
        <v>0.46</v>
      </c>
      <c r="D18" s="19" t="n">
        <v>0.74</v>
      </c>
      <c r="E18" s="19" t="n">
        <v>0.88</v>
      </c>
      <c r="F18" s="19" t="n">
        <v>0.66</v>
      </c>
      <c r="G18" s="27">
        <f>AVERAGE(C18:F18)</f>
        <v/>
      </c>
      <c r="H18" s="28">
        <f>IF(G18&gt;=Curt_Threshold,1,0)</f>
        <v/>
      </c>
    </row>
    <row r="19">
      <c r="B19" s="26" t="n">
        <v>13</v>
      </c>
      <c r="C19" s="19" t="n">
        <v>0.46</v>
      </c>
      <c r="D19" s="19" t="n">
        <v>0.76</v>
      </c>
      <c r="E19" s="19" t="n">
        <v>0.9</v>
      </c>
      <c r="F19" s="19" t="n">
        <v>0.66</v>
      </c>
      <c r="G19" s="27">
        <f>AVERAGE(C19:F19)</f>
        <v/>
      </c>
      <c r="H19" s="28">
        <f>IF(G19&gt;=Curt_Threshold,1,0)</f>
        <v/>
      </c>
    </row>
    <row r="20">
      <c r="B20" s="26" t="n">
        <v>14</v>
      </c>
      <c r="C20" s="19" t="n">
        <v>0.42</v>
      </c>
      <c r="D20" s="19" t="n">
        <v>0.72</v>
      </c>
      <c r="E20" s="19" t="n">
        <v>0.86</v>
      </c>
      <c r="F20" s="19" t="n">
        <v>0.6</v>
      </c>
      <c r="G20" s="27">
        <f>AVERAGE(C20:F20)</f>
        <v/>
      </c>
      <c r="H20" s="28">
        <f>IF(G20&gt;=Curt_Threshold,1,0)</f>
        <v/>
      </c>
    </row>
    <row r="21">
      <c r="B21" s="26" t="n">
        <v>15</v>
      </c>
      <c r="C21" s="19" t="n">
        <v>0.34</v>
      </c>
      <c r="D21" s="19" t="n">
        <v>0.64</v>
      </c>
      <c r="E21" s="19" t="n">
        <v>0.78</v>
      </c>
      <c r="F21" s="19" t="n">
        <v>0.5</v>
      </c>
      <c r="G21" s="27">
        <f>AVERAGE(C21:F21)</f>
        <v/>
      </c>
      <c r="H21" s="28">
        <f>IF(G21&gt;=Curt_Threshold,1,0)</f>
        <v/>
      </c>
    </row>
    <row r="22">
      <c r="B22" s="26" t="n">
        <v>16</v>
      </c>
      <c r="C22" s="19" t="n">
        <v>0.22</v>
      </c>
      <c r="D22" s="19" t="n">
        <v>0.52</v>
      </c>
      <c r="E22" s="19" t="n">
        <v>0.66</v>
      </c>
      <c r="F22" s="19" t="n">
        <v>0.38</v>
      </c>
      <c r="G22" s="27">
        <f>AVERAGE(C22:F22)</f>
        <v/>
      </c>
      <c r="H22" s="28">
        <f>IF(G22&gt;=Curt_Threshold,1,0)</f>
        <v/>
      </c>
    </row>
    <row r="23">
      <c r="B23" s="26" t="n">
        <v>17</v>
      </c>
      <c r="C23" s="19" t="n">
        <v>0.1</v>
      </c>
      <c r="D23" s="19" t="n">
        <v>0.38</v>
      </c>
      <c r="E23" s="19" t="n">
        <v>0.5</v>
      </c>
      <c r="F23" s="19" t="n">
        <v>0.22</v>
      </c>
      <c r="G23" s="27">
        <f>AVERAGE(C23:F23)</f>
        <v/>
      </c>
      <c r="H23" s="28">
        <f>IF(G23&gt;=Curt_Threshold,1,0)</f>
        <v/>
      </c>
    </row>
    <row r="24">
      <c r="B24" s="26" t="n">
        <v>18</v>
      </c>
      <c r="C24" s="19" t="n">
        <v>0.02</v>
      </c>
      <c r="D24" s="19" t="n">
        <v>0.22</v>
      </c>
      <c r="E24" s="19" t="n">
        <v>0.34</v>
      </c>
      <c r="F24" s="19" t="n">
        <v>0.08</v>
      </c>
      <c r="G24" s="27">
        <f>AVERAGE(C24:F24)</f>
        <v/>
      </c>
      <c r="H24" s="28">
        <f>IF(G24&gt;=Curt_Threshold,1,0)</f>
        <v/>
      </c>
    </row>
    <row r="25">
      <c r="B25" s="26" t="n">
        <v>19</v>
      </c>
      <c r="C25" s="19" t="n">
        <v>0</v>
      </c>
      <c r="D25" s="19" t="n">
        <v>0.1</v>
      </c>
      <c r="E25" s="19" t="n">
        <v>0.2</v>
      </c>
      <c r="F25" s="19" t="n">
        <v>0.02</v>
      </c>
      <c r="G25" s="27">
        <f>AVERAGE(C25:F25)</f>
        <v/>
      </c>
      <c r="H25" s="28">
        <f>IF(G25&gt;=Curt_Threshold,1,0)</f>
        <v/>
      </c>
    </row>
    <row r="26">
      <c r="B26" s="26" t="n">
        <v>20</v>
      </c>
      <c r="C26" s="19" t="n">
        <v>0</v>
      </c>
      <c r="D26" s="19" t="n">
        <v>0.02</v>
      </c>
      <c r="E26" s="19" t="n">
        <v>0.08</v>
      </c>
      <c r="F26" s="19" t="n">
        <v>0</v>
      </c>
      <c r="G26" s="27">
        <f>AVERAGE(C26:F26)</f>
        <v/>
      </c>
      <c r="H26" s="28">
        <f>IF(G26&gt;=Curt_Threshold,1,0)</f>
        <v/>
      </c>
    </row>
    <row r="27">
      <c r="B27" s="26" t="n">
        <v>21</v>
      </c>
      <c r="C27" s="19" t="n">
        <v>0</v>
      </c>
      <c r="D27" s="19" t="n">
        <v>0</v>
      </c>
      <c r="E27" s="19" t="n">
        <v>0.02</v>
      </c>
      <c r="F27" s="19" t="n">
        <v>0</v>
      </c>
      <c r="G27" s="27">
        <f>AVERAGE(C27:F27)</f>
        <v/>
      </c>
      <c r="H27" s="28">
        <f>IF(G27&gt;=Curt_Threshold,1,0)</f>
        <v/>
      </c>
    </row>
    <row r="28">
      <c r="B28" s="26" t="n">
        <v>22</v>
      </c>
      <c r="C28" s="19" t="n">
        <v>0</v>
      </c>
      <c r="D28" s="19" t="n">
        <v>0</v>
      </c>
      <c r="E28" s="19" t="n">
        <v>0</v>
      </c>
      <c r="F28" s="19" t="n">
        <v>0</v>
      </c>
      <c r="G28" s="27">
        <f>AVERAGE(C28:F28)</f>
        <v/>
      </c>
      <c r="H28" s="28">
        <f>IF(G28&gt;=Curt_Threshold,1,0)</f>
        <v/>
      </c>
    </row>
    <row r="29">
      <c r="B29" s="26" t="n">
        <v>23</v>
      </c>
      <c r="C29" s="19" t="n">
        <v>0</v>
      </c>
      <c r="D29" s="19" t="n">
        <v>0</v>
      </c>
      <c r="E29" s="19" t="n">
        <v>0</v>
      </c>
      <c r="F29" s="19" t="n">
        <v>0</v>
      </c>
      <c r="G29" s="27">
        <f>AVERAGE(C29:F29)</f>
        <v/>
      </c>
      <c r="H29" s="28">
        <f>IF(G29&gt;=Curt_Threshold,1,0)</f>
        <v/>
      </c>
    </row>
    <row r="31">
      <c r="B31" s="29" t="inlineStr">
        <is>
          <t>Curtailment hours per representative day:</t>
        </is>
      </c>
      <c r="G31" s="30">
        <f>SUM(H6:H29)</f>
        <v/>
      </c>
    </row>
  </sheetData>
  <mergeCells count="3">
    <mergeCell ref="B31:F31"/>
    <mergeCell ref="B3:H3"/>
    <mergeCell ref="B2:H2"/>
  </mergeCells>
  <conditionalFormatting sqref="C6:G29">
    <cfRule type="colorScale" priority="1">
      <colorScale>
        <cfvo type="num" val="0"/>
        <cfvo type="num" val="0.4"/>
        <cfvo type="num" val="1"/>
        <color rgb="00FFFFFF"/>
        <color rgb="00FFE699"/>
        <color rgb="00C00000"/>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G33"/>
  <sheetViews>
    <sheetView showGridLines="0" workbookViewId="0">
      <selection activeCell="A1" sqref="A1"/>
    </sheetView>
  </sheetViews>
  <sheetFormatPr baseColWidth="8" defaultRowHeight="15"/>
  <cols>
    <col width="3" customWidth="1" min="1" max="1"/>
    <col width="8" customWidth="1" min="2" max="2"/>
    <col width="14" customWidth="1" min="3" max="3"/>
    <col width="14" customWidth="1" min="4" max="4"/>
    <col width="14" customWidth="1" min="5" max="5"/>
    <col width="14" customWidth="1" min="6" max="6"/>
    <col width="16" customWidth="1" min="7" max="7"/>
  </cols>
  <sheetData>
    <row r="2">
      <c r="B2" s="12" t="inlineStr">
        <is>
          <t>Hourly spot electricity price (EUR/MWh) — European blended</t>
        </is>
      </c>
    </row>
    <row r="3">
      <c r="B3" s="23" t="inlineStr">
        <is>
          <t>Midday troughs reflect oversupplied solar. Edit the yellow cells to model a specific country / year.</t>
        </is>
      </c>
    </row>
    <row r="5">
      <c r="B5" s="24" t="inlineStr">
        <is>
          <t>Hour</t>
        </is>
      </c>
      <c r="C5" s="24" t="inlineStr">
        <is>
          <t>Winter €/MWh</t>
        </is>
      </c>
      <c r="D5" s="24" t="inlineStr">
        <is>
          <t>Spring €/MWh</t>
        </is>
      </c>
      <c r="E5" s="24" t="inlineStr">
        <is>
          <t>Summer €/MWh</t>
        </is>
      </c>
      <c r="F5" s="24" t="inlineStr">
        <is>
          <t>Autumn €/MWh</t>
        </is>
      </c>
      <c r="G5" s="24" t="inlineStr">
        <is>
          <t>Avg €/MWh</t>
        </is>
      </c>
    </row>
    <row r="6">
      <c r="B6" s="26" t="n">
        <v>0</v>
      </c>
      <c r="C6" s="14" t="n">
        <v>90</v>
      </c>
      <c r="D6" s="14" t="n">
        <v>60</v>
      </c>
      <c r="E6" s="14" t="n">
        <v>35</v>
      </c>
      <c r="F6" s="14" t="n">
        <v>70</v>
      </c>
      <c r="G6" s="31">
        <f>AVERAGE(C6:F6)</f>
        <v/>
      </c>
    </row>
    <row r="7">
      <c r="B7" s="26" t="n">
        <v>1</v>
      </c>
      <c r="C7" s="14" t="n">
        <v>85</v>
      </c>
      <c r="D7" s="14" t="n">
        <v>55</v>
      </c>
      <c r="E7" s="14" t="n">
        <v>30</v>
      </c>
      <c r="F7" s="14" t="n">
        <v>65</v>
      </c>
      <c r="G7" s="31">
        <f>AVERAGE(C7:F7)</f>
        <v/>
      </c>
    </row>
    <row r="8">
      <c r="B8" s="26" t="n">
        <v>2</v>
      </c>
      <c r="C8" s="14" t="n">
        <v>80</v>
      </c>
      <c r="D8" s="14" t="n">
        <v>50</v>
      </c>
      <c r="E8" s="14" t="n">
        <v>25</v>
      </c>
      <c r="F8" s="14" t="n">
        <v>60</v>
      </c>
      <c r="G8" s="31">
        <f>AVERAGE(C8:F8)</f>
        <v/>
      </c>
    </row>
    <row r="9">
      <c r="B9" s="26" t="n">
        <v>3</v>
      </c>
      <c r="C9" s="14" t="n">
        <v>78</v>
      </c>
      <c r="D9" s="14" t="n">
        <v>48</v>
      </c>
      <c r="E9" s="14" t="n">
        <v>22</v>
      </c>
      <c r="F9" s="14" t="n">
        <v>58</v>
      </c>
      <c r="G9" s="31">
        <f>AVERAGE(C9:F9)</f>
        <v/>
      </c>
    </row>
    <row r="10">
      <c r="B10" s="26" t="n">
        <v>4</v>
      </c>
      <c r="C10" s="14" t="n">
        <v>80</v>
      </c>
      <c r="D10" s="14" t="n">
        <v>50</v>
      </c>
      <c r="E10" s="14" t="n">
        <v>25</v>
      </c>
      <c r="F10" s="14" t="n">
        <v>60</v>
      </c>
      <c r="G10" s="31">
        <f>AVERAGE(C10:F10)</f>
        <v/>
      </c>
    </row>
    <row r="11">
      <c r="B11" s="26" t="n">
        <v>5</v>
      </c>
      <c r="C11" s="14" t="n">
        <v>90</v>
      </c>
      <c r="D11" s="14" t="n">
        <v>60</v>
      </c>
      <c r="E11" s="14" t="n">
        <v>35</v>
      </c>
      <c r="F11" s="14" t="n">
        <v>70</v>
      </c>
      <c r="G11" s="31">
        <f>AVERAGE(C11:F11)</f>
        <v/>
      </c>
    </row>
    <row r="12">
      <c r="B12" s="26" t="n">
        <v>6</v>
      </c>
      <c r="C12" s="14" t="n">
        <v>110</v>
      </c>
      <c r="D12" s="14" t="n">
        <v>75</v>
      </c>
      <c r="E12" s="14" t="n">
        <v>45</v>
      </c>
      <c r="F12" s="14" t="n">
        <v>85</v>
      </c>
      <c r="G12" s="31">
        <f>AVERAGE(C12:F12)</f>
        <v/>
      </c>
    </row>
    <row r="13">
      <c r="B13" s="26" t="n">
        <v>7</v>
      </c>
      <c r="C13" s="14" t="n">
        <v>140</v>
      </c>
      <c r="D13" s="14" t="n">
        <v>90</v>
      </c>
      <c r="E13" s="14" t="n">
        <v>55</v>
      </c>
      <c r="F13" s="14" t="n">
        <v>105</v>
      </c>
      <c r="G13" s="31">
        <f>AVERAGE(C13:F13)</f>
        <v/>
      </c>
    </row>
    <row r="14">
      <c r="B14" s="26" t="n">
        <v>8</v>
      </c>
      <c r="C14" s="14" t="n">
        <v>150</v>
      </c>
      <c r="D14" s="14" t="n">
        <v>90</v>
      </c>
      <c r="E14" s="14" t="n">
        <v>45</v>
      </c>
      <c r="F14" s="14" t="n">
        <v>110</v>
      </c>
      <c r="G14" s="31">
        <f>AVERAGE(C14:F14)</f>
        <v/>
      </c>
    </row>
    <row r="15">
      <c r="B15" s="26" t="n">
        <v>9</v>
      </c>
      <c r="C15" s="14" t="n">
        <v>140</v>
      </c>
      <c r="D15" s="14" t="n">
        <v>70</v>
      </c>
      <c r="E15" s="14" t="n">
        <v>20</v>
      </c>
      <c r="F15" s="14" t="n">
        <v>95</v>
      </c>
      <c r="G15" s="31">
        <f>AVERAGE(C15:F15)</f>
        <v/>
      </c>
    </row>
    <row r="16">
      <c r="B16" s="26" t="n">
        <v>10</v>
      </c>
      <c r="C16" s="14" t="n">
        <v>120</v>
      </c>
      <c r="D16" s="14" t="n">
        <v>50</v>
      </c>
      <c r="E16" s="14" t="n">
        <v>-5</v>
      </c>
      <c r="F16" s="14" t="n">
        <v>80</v>
      </c>
      <c r="G16" s="31">
        <f>AVERAGE(C16:F16)</f>
        <v/>
      </c>
    </row>
    <row r="17">
      <c r="B17" s="26" t="n">
        <v>11</v>
      </c>
      <c r="C17" s="14" t="n">
        <v>110</v>
      </c>
      <c r="D17" s="14" t="n">
        <v>35</v>
      </c>
      <c r="E17" s="14" t="n">
        <v>-20</v>
      </c>
      <c r="F17" s="14" t="n">
        <v>65</v>
      </c>
      <c r="G17" s="31">
        <f>AVERAGE(C17:F17)</f>
        <v/>
      </c>
    </row>
    <row r="18">
      <c r="B18" s="26" t="n">
        <v>12</v>
      </c>
      <c r="C18" s="14" t="n">
        <v>105</v>
      </c>
      <c r="D18" s="14" t="n">
        <v>25</v>
      </c>
      <c r="E18" s="14" t="n">
        <v>-30</v>
      </c>
      <c r="F18" s="14" t="n">
        <v>55</v>
      </c>
      <c r="G18" s="31">
        <f>AVERAGE(C18:F18)</f>
        <v/>
      </c>
    </row>
    <row r="19">
      <c r="B19" s="26" t="n">
        <v>13</v>
      </c>
      <c r="C19" s="14" t="n">
        <v>105</v>
      </c>
      <c r="D19" s="14" t="n">
        <v>20</v>
      </c>
      <c r="E19" s="14" t="n">
        <v>-35</v>
      </c>
      <c r="F19" s="14" t="n">
        <v>50</v>
      </c>
      <c r="G19" s="31">
        <f>AVERAGE(C19:F19)</f>
        <v/>
      </c>
    </row>
    <row r="20">
      <c r="B20" s="26" t="n">
        <v>14</v>
      </c>
      <c r="C20" s="14" t="n">
        <v>110</v>
      </c>
      <c r="D20" s="14" t="n">
        <v>25</v>
      </c>
      <c r="E20" s="14" t="n">
        <v>-25</v>
      </c>
      <c r="F20" s="14" t="n">
        <v>55</v>
      </c>
      <c r="G20" s="31">
        <f>AVERAGE(C20:F20)</f>
        <v/>
      </c>
    </row>
    <row r="21">
      <c r="B21" s="26" t="n">
        <v>15</v>
      </c>
      <c r="C21" s="14" t="n">
        <v>120</v>
      </c>
      <c r="D21" s="14" t="n">
        <v>40</v>
      </c>
      <c r="E21" s="14" t="n">
        <v>-5</v>
      </c>
      <c r="F21" s="14" t="n">
        <v>70</v>
      </c>
      <c r="G21" s="31">
        <f>AVERAGE(C21:F21)</f>
        <v/>
      </c>
    </row>
    <row r="22">
      <c r="B22" s="26" t="n">
        <v>16</v>
      </c>
      <c r="C22" s="14" t="n">
        <v>140</v>
      </c>
      <c r="D22" s="14" t="n">
        <v>65</v>
      </c>
      <c r="E22" s="14" t="n">
        <v>20</v>
      </c>
      <c r="F22" s="14" t="n">
        <v>95</v>
      </c>
      <c r="G22" s="31">
        <f>AVERAGE(C22:F22)</f>
        <v/>
      </c>
    </row>
    <row r="23">
      <c r="B23" s="26" t="n">
        <v>17</v>
      </c>
      <c r="C23" s="14" t="n">
        <v>170</v>
      </c>
      <c r="D23" s="14" t="n">
        <v>100</v>
      </c>
      <c r="E23" s="14" t="n">
        <v>55</v>
      </c>
      <c r="F23" s="14" t="n">
        <v>130</v>
      </c>
      <c r="G23" s="31">
        <f>AVERAGE(C23:F23)</f>
        <v/>
      </c>
    </row>
    <row r="24">
      <c r="B24" s="26" t="n">
        <v>18</v>
      </c>
      <c r="C24" s="14" t="n">
        <v>200</v>
      </c>
      <c r="D24" s="14" t="n">
        <v>130</v>
      </c>
      <c r="E24" s="14" t="n">
        <v>90</v>
      </c>
      <c r="F24" s="14" t="n">
        <v>160</v>
      </c>
      <c r="G24" s="31">
        <f>AVERAGE(C24:F24)</f>
        <v/>
      </c>
    </row>
    <row r="25">
      <c r="B25" s="26" t="n">
        <v>19</v>
      </c>
      <c r="C25" s="14" t="n">
        <v>210</v>
      </c>
      <c r="D25" s="14" t="n">
        <v>150</v>
      </c>
      <c r="E25" s="14" t="n">
        <v>110</v>
      </c>
      <c r="F25" s="14" t="n">
        <v>175</v>
      </c>
      <c r="G25" s="31">
        <f>AVERAGE(C25:F25)</f>
        <v/>
      </c>
    </row>
    <row r="26">
      <c r="B26" s="26" t="n">
        <v>20</v>
      </c>
      <c r="C26" s="14" t="n">
        <v>190</v>
      </c>
      <c r="D26" s="14" t="n">
        <v>140</v>
      </c>
      <c r="E26" s="14" t="n">
        <v>100</v>
      </c>
      <c r="F26" s="14" t="n">
        <v>160</v>
      </c>
      <c r="G26" s="31">
        <f>AVERAGE(C26:F26)</f>
        <v/>
      </c>
    </row>
    <row r="27">
      <c r="B27" s="26" t="n">
        <v>21</v>
      </c>
      <c r="C27" s="14" t="n">
        <v>160</v>
      </c>
      <c r="D27" s="14" t="n">
        <v>120</v>
      </c>
      <c r="E27" s="14" t="n">
        <v>80</v>
      </c>
      <c r="F27" s="14" t="n">
        <v>135</v>
      </c>
      <c r="G27" s="31">
        <f>AVERAGE(C27:F27)</f>
        <v/>
      </c>
    </row>
    <row r="28">
      <c r="B28" s="26" t="n">
        <v>22</v>
      </c>
      <c r="C28" s="14" t="n">
        <v>130</v>
      </c>
      <c r="D28" s="14" t="n">
        <v>95</v>
      </c>
      <c r="E28" s="14" t="n">
        <v>60</v>
      </c>
      <c r="F28" s="14" t="n">
        <v>105</v>
      </c>
      <c r="G28" s="31">
        <f>AVERAGE(C28:F28)</f>
        <v/>
      </c>
    </row>
    <row r="29">
      <c r="B29" s="26" t="n">
        <v>23</v>
      </c>
      <c r="C29" s="14" t="n">
        <v>105</v>
      </c>
      <c r="D29" s="14" t="n">
        <v>75</v>
      </c>
      <c r="E29" s="14" t="n">
        <v>45</v>
      </c>
      <c r="F29" s="14" t="n">
        <v>85</v>
      </c>
      <c r="G29" s="31">
        <f>AVERAGE(C29:F29)</f>
        <v/>
      </c>
    </row>
    <row r="31">
      <c r="B31" s="29" t="inlineStr">
        <is>
          <t>Avg price</t>
        </is>
      </c>
      <c r="C31" s="31">
        <f>AVERAGE(C6:C29)</f>
        <v/>
      </c>
      <c r="D31" s="31">
        <f>AVERAGE(D6:D29)</f>
        <v/>
      </c>
      <c r="E31" s="31">
        <f>AVERAGE(E6:E29)</f>
        <v/>
      </c>
      <c r="F31" s="31">
        <f>AVERAGE(F6:F29)</f>
        <v/>
      </c>
      <c r="G31" s="31">
        <f>AVERAGE(G6:G29)</f>
        <v/>
      </c>
    </row>
    <row r="32">
      <c r="B32" s="29" t="inlineStr">
        <is>
          <t>Min price</t>
        </is>
      </c>
      <c r="C32" s="31">
        <f>MIN(C6:C29)</f>
        <v/>
      </c>
      <c r="D32" s="31">
        <f>MIN(D6:D29)</f>
        <v/>
      </c>
      <c r="E32" s="31">
        <f>MIN(E6:E29)</f>
        <v/>
      </c>
      <c r="F32" s="31">
        <f>MIN(F6:F29)</f>
        <v/>
      </c>
      <c r="G32" s="31">
        <f>MIN(G6:G29)</f>
        <v/>
      </c>
    </row>
    <row r="33">
      <c r="B33" s="29" t="inlineStr">
        <is>
          <t>Hours ≤ €0 per day</t>
        </is>
      </c>
      <c r="C33" s="28">
        <f>SUMPRODUCT(--(C6:C29&lt;=0))</f>
        <v/>
      </c>
      <c r="D33" s="28">
        <f>SUMPRODUCT(--(D6:D29&lt;=0))</f>
        <v/>
      </c>
      <c r="E33" s="28">
        <f>SUMPRODUCT(--(E6:E29&lt;=0))</f>
        <v/>
      </c>
      <c r="F33" s="28">
        <f>SUMPRODUCT(--(F6:F29&lt;=0))</f>
        <v/>
      </c>
      <c r="G33" s="28">
        <f>SUMPRODUCT(--(G6:G29&lt;=0))</f>
        <v/>
      </c>
    </row>
  </sheetData>
  <mergeCells count="2">
    <mergeCell ref="B3:G3"/>
    <mergeCell ref="B2:G2"/>
  </mergeCells>
  <conditionalFormatting sqref="C6:G29">
    <cfRule type="colorScale" priority="1">
      <colorScale>
        <cfvo type="num" val="-50"/>
        <cfvo type="num" val="80"/>
        <cfvo type="num" val="250"/>
        <color rgb="0063BE7B"/>
        <color rgb="00FFEB84"/>
        <color rgb="00F8696B"/>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E24"/>
  <sheetViews>
    <sheetView showGridLines="0" workbookViewId="0">
      <selection activeCell="A1" sqref="A1"/>
    </sheetView>
  </sheetViews>
  <sheetFormatPr baseColWidth="8" defaultRowHeight="15"/>
  <cols>
    <col width="3" customWidth="1" min="1" max="1"/>
    <col width="42" customWidth="1" min="2" max="2"/>
    <col width="18" customWidth="1" min="3" max="3"/>
    <col width="4" customWidth="1" min="4" max="4"/>
    <col width="42" customWidth="1" min="5" max="5"/>
  </cols>
  <sheetData>
    <row r="2">
      <c r="B2" s="12" t="inlineStr">
        <is>
          <t>Per-GPU economics — capex, depreciation, power, operating cost</t>
        </is>
      </c>
    </row>
    <row r="4">
      <c r="B4" s="13" t="inlineStr">
        <is>
          <t>Capex stack (per GPU)</t>
        </is>
      </c>
      <c r="E4" s="3" t="inlineStr">
        <is>
          <t>Notes</t>
        </is>
      </c>
    </row>
    <row r="5">
      <c r="B5" s="6" t="inlineStr">
        <is>
          <t>H100 capex</t>
        </is>
      </c>
      <c r="C5" s="31">
        <f>GPU_Capex</f>
        <v/>
      </c>
      <c r="E5" s="32" t="inlineStr">
        <is>
          <t>Capex is the wall the model is built against — it amortises whether GPUs run or not, which is the entire pain of idle hours.</t>
        </is>
      </c>
    </row>
    <row r="6">
      <c r="B6" s="6" t="inlineStr">
        <is>
          <t>Rack &amp; networking capex</t>
        </is>
      </c>
      <c r="C6" s="31">
        <f>Rack_Capex</f>
        <v/>
      </c>
    </row>
    <row r="7">
      <c r="B7" s="6" t="inlineStr">
        <is>
          <t>Datacenter capex</t>
        </is>
      </c>
      <c r="C7" s="31">
        <f>DC_Capex</f>
        <v/>
      </c>
    </row>
    <row r="8">
      <c r="B8" s="33" t="inlineStr">
        <is>
          <t>Total capex per GPU</t>
        </is>
      </c>
      <c r="C8" s="34">
        <f>SUM(C5:C7)</f>
        <v/>
      </c>
      <c r="E8" s="32" t="inlineStr">
        <is>
          <t>Salvage is real for H100s as long as Hopper finds a second life on inference / mid-end training.</t>
        </is>
      </c>
    </row>
    <row r="9"/>
    <row r="10">
      <c r="B10" s="13" t="inlineStr">
        <is>
          <t>Depreciation &amp; financing (annual)</t>
        </is>
      </c>
    </row>
    <row r="11">
      <c r="B11" s="6" t="inlineStr">
        <is>
          <t>Straight-line depreciation</t>
        </is>
      </c>
      <c r="C11" s="31">
        <f>(Total_Capex*(1-GPU_Salvage))/GPU_Life</f>
        <v/>
      </c>
      <c r="E11" s="32" t="inlineStr">
        <is>
          <t>PUE of 1.20 assumes liquid cooling at a solar-adjacent modular DC. Air-cooled colo would be ~1.45.</t>
        </is>
      </c>
    </row>
    <row r="12">
      <c r="B12" s="6" t="inlineStr">
        <is>
          <t>WACC × avg invested capital</t>
        </is>
      </c>
      <c r="C12" s="31">
        <f>Total_Capex*WACC*0.5</f>
        <v/>
      </c>
    </row>
    <row r="13">
      <c r="B13" s="6" t="inlineStr">
        <is>
          <t>O&amp;M</t>
        </is>
      </c>
      <c r="C13" s="31">
        <f>OandM</f>
        <v/>
      </c>
    </row>
    <row r="14">
      <c r="B14" s="6" t="inlineStr">
        <is>
          <t>Grid connection (allocated)</t>
        </is>
      </c>
      <c r="C14" s="31">
        <f>GridFee_per_kWyr*(GPU_Power_Load_W+Aux_Power_W)/1000*PUE</f>
        <v/>
      </c>
      <c r="E14" s="32" t="inlineStr">
        <is>
          <t>Idle load is not zero: powered nodes still draw fans, NIC, baseboard mgmt — that's a real penalty on curtailment-only mode.</t>
        </is>
      </c>
    </row>
    <row r="15">
      <c r="B15" s="33" t="inlineStr">
        <is>
          <t>Total fixed annual cost / GPU</t>
        </is>
      </c>
      <c r="C15" s="34">
        <f>SUM(C11:C14)</f>
        <v/>
      </c>
    </row>
    <row r="16"/>
    <row r="17">
      <c r="B17" s="13" t="inlineStr">
        <is>
          <t>Power per powered-on hour</t>
        </is>
      </c>
      <c r="E17" s="32" t="inlineStr">
        <is>
          <t>Firm vs interruptible: the curtailment-only operator cannot promise capacity, so the buyer demands a haircut.</t>
        </is>
      </c>
    </row>
    <row r="18">
      <c r="B18" t="inlineStr">
        <is>
          <t>IT load (kW)</t>
        </is>
      </c>
      <c r="C18" s="35">
        <f>(GPU_Power_Load_W+Aux_Power_W)/1000</f>
        <v/>
      </c>
    </row>
    <row r="19">
      <c r="B19" t="inlineStr">
        <is>
          <t>Site load incl. PUE (kW)</t>
        </is>
      </c>
      <c r="C19" s="35">
        <f>C18*PUE</f>
        <v/>
      </c>
    </row>
    <row r="20">
      <c r="B20" t="inlineStr">
        <is>
          <t>Idle site load (kW)</t>
        </is>
      </c>
      <c r="C20" s="35">
        <f>(GPU_Power_Idle_W+Aux_Power_W*0.4)/1000*PUE</f>
        <v/>
      </c>
    </row>
    <row r="22">
      <c r="B22" s="13" t="inlineStr">
        <is>
          <t>Revenue per powered-on hour</t>
        </is>
      </c>
    </row>
    <row r="23">
      <c r="B23" t="inlineStr">
        <is>
          <t>Gross revenue / hr (firm)</t>
        </is>
      </c>
      <c r="C23" s="36">
        <f>Rev_per_hr*Util</f>
        <v/>
      </c>
    </row>
    <row r="24">
      <c r="B24" t="inlineStr">
        <is>
          <t>Gross revenue / hr (interruptible / curtailment-only)</t>
        </is>
      </c>
      <c r="C24" s="36">
        <f>MAX(Floor_Price, Rev_per_hr*(1-Interrupt_Haircut))*Util</f>
        <v/>
      </c>
    </row>
  </sheetData>
  <mergeCells count="10">
    <mergeCell ref="E17:E19"/>
    <mergeCell ref="E8:E10"/>
    <mergeCell ref="B10:C10"/>
    <mergeCell ref="B22:C22"/>
    <mergeCell ref="E11:E13"/>
    <mergeCell ref="E14:E16"/>
    <mergeCell ref="B2:E2"/>
    <mergeCell ref="B17:C17"/>
    <mergeCell ref="E5:E7"/>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5"/>
  <sheetViews>
    <sheetView showGridLines="0" workbookViewId="0">
      <selection activeCell="A1" sqref="A1"/>
    </sheetView>
  </sheetViews>
  <sheetFormatPr baseColWidth="8" defaultRowHeight="15"/>
  <cols>
    <col width="3" customWidth="1" min="1" max="1"/>
    <col width="38" customWidth="1" min="2" max="2"/>
    <col width="18" customWidth="1" min="3" max="3"/>
    <col width="18" customWidth="1" min="4" max="4"/>
    <col width="18" customWidth="1" min="5" max="5"/>
    <col width="38" customWidth="1" min="6" max="6"/>
  </cols>
  <sheetData>
    <row r="2">
      <c r="B2" s="12" t="inlineStr">
        <is>
          <t>Scenario comparison — three operating modes, same hardware</t>
        </is>
      </c>
    </row>
    <row r="3">
      <c r="B3" s="23" t="inlineStr">
        <is>
          <t>All scenarios pay the same capex. The only variable is when we power the GPU.</t>
        </is>
      </c>
    </row>
    <row r="5">
      <c r="B5" s="24" t="inlineStr"/>
      <c r="C5" s="24" t="inlineStr">
        <is>
          <t>A. 24/7</t>
        </is>
      </c>
      <c r="D5" s="24" t="inlineStr">
        <is>
          <t>B. Daytime-only</t>
        </is>
      </c>
      <c r="E5" s="24" t="inlineStr">
        <is>
          <t>C. Curtailment-only</t>
        </is>
      </c>
      <c r="F5" s="24" t="inlineStr">
        <is>
          <t>Comment</t>
        </is>
      </c>
    </row>
    <row r="6">
      <c r="B6" s="6" t="inlineStr">
        <is>
          <t>Powered hours per year</t>
        </is>
      </c>
      <c r="C6" s="37">
        <f>24*365*Avail</f>
        <v/>
      </c>
      <c r="D6" s="37">
        <f>Hrs_Daytime*365*Avail</f>
        <v/>
      </c>
      <c r="E6" s="37">
        <f>Hrs_Curt*Curt_Days*Avail</f>
        <v/>
      </c>
      <c r="F6" s="15" t="inlineStr">
        <is>
          <t>Idle hours = 8,760 - this number.</t>
        </is>
      </c>
    </row>
    <row r="7">
      <c r="B7" s="6" t="inlineStr">
        <is>
          <t>Energy consumed (MWh/yr)</t>
        </is>
      </c>
      <c r="C7" s="37">
        <f>C6*Load_kW/1000+(8760-C6)*Idle_kW/1000</f>
        <v/>
      </c>
      <c r="D7" s="37">
        <f>D6*Load_kW/1000+(8760-D6)*Idle_kW/1000</f>
        <v/>
      </c>
      <c r="E7" s="37">
        <f>E6*Load_kW/1000+(8760-E6)*Idle_kW/1000</f>
        <v/>
      </c>
      <c r="F7" s="15" t="inlineStr">
        <is>
          <t>Idle nodes still drink power.</t>
        </is>
      </c>
    </row>
    <row r="8">
      <c r="B8" s="6" t="inlineStr">
        <is>
          <t>Blended electricity price (EUR/MWh)</t>
        </is>
      </c>
      <c r="C8" s="31">
        <f>Grid_Price</f>
        <v/>
      </c>
      <c r="D8" s="31">
        <f>(Grid_Price+PPA_Price)/2</f>
        <v/>
      </c>
      <c r="E8" s="31">
        <f>Curt_Price</f>
        <v/>
      </c>
      <c r="F8" s="15" t="inlineStr">
        <is>
          <t>Curtailment scenario uses the écrêtement spot. Daytime mixes grid + PPA.</t>
        </is>
      </c>
    </row>
    <row r="9">
      <c r="B9" s="6" t="inlineStr">
        <is>
          <t>Electricity cost (EUR/yr)</t>
        </is>
      </c>
      <c r="C9" s="31">
        <f>C7*C8</f>
        <v/>
      </c>
      <c r="D9" s="31">
        <f>D7*D8</f>
        <v/>
      </c>
      <c r="E9" s="31">
        <f>E7*E8</f>
        <v/>
      </c>
      <c r="F9" s="15" t="inlineStr">
        <is>
          <t>Negative cost is income from being paid to consume.</t>
        </is>
      </c>
    </row>
    <row r="10">
      <c r="B10" s="6" t="inlineStr">
        <is>
          <t>Gross revenue (EUR/yr)</t>
        </is>
      </c>
      <c r="C10" s="31">
        <f>C6*Rev_Firm</f>
        <v/>
      </c>
      <c r="D10" s="31">
        <f>D6*Rev_Firm</f>
        <v/>
      </c>
      <c r="E10" s="31">
        <f>E6*Rev_Interr</f>
        <v/>
      </c>
      <c r="F10" s="15" t="inlineStr">
        <is>
          <t>Interruptible haircut applied to scenario C.</t>
        </is>
      </c>
    </row>
    <row r="11">
      <c r="B11" s="6" t="inlineStr">
        <is>
          <t>Carbon credit (EUR/yr)</t>
        </is>
      </c>
      <c r="C11" s="31">
        <f>0</f>
        <v/>
      </c>
      <c r="D11" s="31">
        <f>D7*Carbon*0.3</f>
        <v/>
      </c>
      <c r="E11" s="31">
        <f>E7*Carbon</f>
        <v/>
      </c>
      <c r="F11" s="15" t="inlineStr">
        <is>
          <t>Curtailment-only captures the most avoidance credit per MWh.</t>
        </is>
      </c>
    </row>
    <row r="12">
      <c r="B12" s="6" t="inlineStr">
        <is>
          <t>Fixed cost (depreciation, WACC, O&amp;M)</t>
        </is>
      </c>
      <c r="C12" s="31">
        <f>Fixed_Cost_GPU</f>
        <v/>
      </c>
      <c r="D12" s="31">
        <f>Fixed_Cost_GPU</f>
        <v/>
      </c>
      <c r="E12" s="31">
        <f>Fixed_Cost_GPU</f>
        <v/>
      </c>
      <c r="F12" s="15" t="inlineStr">
        <is>
          <t>Identical across scenarios — that's the whole point.</t>
        </is>
      </c>
    </row>
    <row r="13">
      <c r="B13" s="33" t="inlineStr">
        <is>
          <t>EBITDA per GPU per year</t>
        </is>
      </c>
      <c r="C13" s="38">
        <f>C10-C9-C12+C11</f>
        <v/>
      </c>
      <c r="D13" s="38">
        <f>D10-D9-D12+D11</f>
        <v/>
      </c>
      <c r="E13" s="38">
        <f>E10-E9-E12+E11</f>
        <v/>
      </c>
      <c r="F13" s="15" t="inlineStr">
        <is>
          <t>Revenue - electricity - fixed + carbon.</t>
        </is>
      </c>
    </row>
    <row r="14">
      <c r="B14" s="6" t="inlineStr">
        <is>
          <t>EBITDA margin</t>
        </is>
      </c>
      <c r="C14" s="39">
        <f>IFERROR(C13/C10,0)</f>
        <v/>
      </c>
      <c r="D14" s="39">
        <f>IFERROR(D13/D10,0)</f>
        <v/>
      </c>
      <c r="E14" s="39">
        <f>IFERROR(E13/E10,0)</f>
        <v/>
      </c>
      <c r="F14" s="15" t="inlineStr">
        <is>
          <t>Sanity check.</t>
        </is>
      </c>
    </row>
    <row r="15">
      <c r="B15" s="6" t="inlineStr">
        <is>
          <t>Effective LCOE on consumed power (EUR/MWh)</t>
        </is>
      </c>
      <c r="C15" s="31">
        <f>C9/C7</f>
        <v/>
      </c>
      <c r="D15" s="31">
        <f>D9/D7</f>
        <v/>
      </c>
      <c r="E15" s="31">
        <f>E9/E7</f>
        <v/>
      </c>
      <c r="F15" s="15" t="inlineStr">
        <is>
          <t>What we paid per MWh consumed.</t>
        </is>
      </c>
    </row>
    <row r="16">
      <c r="B16" s="6" t="inlineStr">
        <is>
          <t>Revenue per consumed MWh</t>
        </is>
      </c>
      <c r="C16" s="31">
        <f>C10/C7</f>
        <v/>
      </c>
      <c r="D16" s="31">
        <f>D10/D7</f>
        <v/>
      </c>
      <c r="E16" s="31">
        <f>E10/E7</f>
        <v/>
      </c>
      <c r="F16" s="15" t="inlineStr">
        <is>
          <t>How efficiently we monetise the kWh.</t>
        </is>
      </c>
    </row>
    <row r="17">
      <c r="B17" s="6" t="inlineStr">
        <is>
          <t>Idle hours per year</t>
        </is>
      </c>
      <c r="C17" s="37">
        <f>8760-C6</f>
        <v/>
      </c>
      <c r="D17" s="37">
        <f>8760-D6</f>
        <v/>
      </c>
      <c r="E17" s="37">
        <f>8760-E6</f>
        <v/>
      </c>
      <c r="F17" s="15" t="inlineStr">
        <is>
          <t>The cost of doing nothing.</t>
        </is>
      </c>
    </row>
    <row r="18">
      <c r="B18" s="6" t="inlineStr">
        <is>
          <t>Cost of idle hours (depreciation share)</t>
        </is>
      </c>
      <c r="C18" s="31">
        <f>C17/8760*Fixed_Cost_GPU</f>
        <v/>
      </c>
      <c r="D18" s="31">
        <f>D17/8760*Fixed_Cost_GPU</f>
        <v/>
      </c>
      <c r="E18" s="31">
        <f>E17/8760*Fixed_Cost_GPU</f>
        <v/>
      </c>
      <c r="F18" s="15" t="inlineStr">
        <is>
          <t>Allocates fixed cost pro-rata to idle hours.</t>
        </is>
      </c>
    </row>
    <row r="22">
      <c r="B22" s="3" t="inlineStr">
        <is>
          <t>Verdict (per GPU per year)</t>
        </is>
      </c>
    </row>
    <row r="23">
      <c r="B23" s="29" t="inlineStr">
        <is>
          <t>Best scenario:</t>
        </is>
      </c>
      <c r="C23" s="40">
        <f>INDEX({"24/7","Daytime","Curtailment-only"},MATCH(MAX(C13:E13),C13:E13,0))</f>
        <v/>
      </c>
      <c r="D23" s="41" t="n"/>
      <c r="E23" s="42" t="n"/>
    </row>
    <row r="24">
      <c r="B24" s="29" t="inlineStr">
        <is>
          <t>Best EBITDA / GPU / yr:</t>
        </is>
      </c>
      <c r="C24" s="34">
        <f>MAX(C13:E13)</f>
        <v/>
      </c>
    </row>
    <row r="25">
      <c r="B25" s="29" t="inlineStr">
        <is>
          <t>Margin vs. 2nd best:</t>
        </is>
      </c>
      <c r="C25" s="31">
        <f>LARGE(C13:E13,1)-LARGE(C13:E13,2)</f>
        <v/>
      </c>
    </row>
  </sheetData>
  <mergeCells count="4">
    <mergeCell ref="B2:F2"/>
    <mergeCell ref="C23:E23"/>
    <mergeCell ref="B22:F22"/>
    <mergeCell ref="B3:F3"/>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K105"/>
  <sheetViews>
    <sheetView showGridLines="0" workbookViewId="0">
      <selection activeCell="A1" sqref="A1"/>
    </sheetView>
  </sheetViews>
  <sheetFormatPr baseColWidth="8" defaultRowHeight="15"/>
  <cols>
    <col width="3" customWidth="1" min="1" max="1"/>
    <col width="10" customWidth="1" min="2" max="2"/>
    <col width="8"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2">
      <c r="B2" s="12" t="inlineStr">
        <is>
          <t>Hourly model — 96 representative hours, scaled to 8,760-h year</t>
        </is>
      </c>
    </row>
    <row r="3">
      <c r="B3" s="23" t="inlineStr">
        <is>
          <t>Each season × 24 hours. Hours weighted to 91.25 days/season.</t>
        </is>
      </c>
    </row>
    <row r="5">
      <c r="B5" s="24" t="inlineStr">
        <is>
          <t>Season</t>
        </is>
      </c>
      <c r="C5" s="24" t="inlineStr">
        <is>
          <t>Hour</t>
        </is>
      </c>
      <c r="D5" s="24" t="inlineStr">
        <is>
          <t>CF</t>
        </is>
      </c>
      <c r="E5" s="24" t="inlineStr">
        <is>
          <t>Price €/MWh</t>
        </is>
      </c>
      <c r="F5" s="24" t="inlineStr">
        <is>
          <t>Mode A on?</t>
        </is>
      </c>
      <c r="G5" s="24" t="inlineStr">
        <is>
          <t>Mode B on?</t>
        </is>
      </c>
      <c r="H5" s="24" t="inlineStr">
        <is>
          <t>Mode C on?</t>
        </is>
      </c>
      <c r="I5" s="24" t="inlineStr">
        <is>
          <t>Hour P&amp;L A</t>
        </is>
      </c>
      <c r="J5" s="24" t="inlineStr">
        <is>
          <t>Hour P&amp;L B</t>
        </is>
      </c>
      <c r="K5" s="24" t="inlineStr">
        <is>
          <t>Hour P&amp;L C</t>
        </is>
      </c>
    </row>
    <row r="6">
      <c r="B6" t="inlineStr">
        <is>
          <t>Winter</t>
        </is>
      </c>
      <c r="C6" t="n">
        <v>0</v>
      </c>
      <c r="D6" s="27">
        <f>Solar_Profile!C6</f>
        <v/>
      </c>
      <c r="E6" s="31">
        <f>Price_Curve!C6</f>
        <v/>
      </c>
      <c r="F6" s="28">
        <f>1</f>
        <v/>
      </c>
      <c r="G6" s="28">
        <f>IF(RANK(D6,INDIRECT("D"&amp;(6+INT((ROW()-6)/24)*24)&amp;":D"&amp;(6+INT((ROW()-6)/24)*24+23)),0)&lt;=Hrs_Daytime,1,0)</f>
        <v/>
      </c>
      <c r="H6" s="28">
        <f>IF(RANK(D6,INDIRECT("D"&amp;(6+INT((ROW()-6)/24)*24)&amp;":D"&amp;(6+INT((ROW()-6)/24)*24+23)),0)&lt;=Hrs_Curt,1,0)</f>
        <v/>
      </c>
      <c r="I6" s="36">
        <f>F6*(Rev_Firm - E6*Load_kW/1000) - (1-F6)*Idle_kW/1000*E6</f>
        <v/>
      </c>
      <c r="J6" s="36">
        <f>G6*(Rev_Firm - E6*Load_kW/1000) - (1-G6)*Idle_kW/1000*E6</f>
        <v/>
      </c>
      <c r="K6" s="36">
        <f>H6*(Rev_Interr - Curt_Price*Load_kW/1000) - (1-H6)*Idle_kW/1000*E6</f>
        <v/>
      </c>
    </row>
    <row r="7">
      <c r="B7" t="inlineStr">
        <is>
          <t>Winter</t>
        </is>
      </c>
      <c r="C7" t="n">
        <v>1</v>
      </c>
      <c r="D7" s="27">
        <f>Solar_Profile!C7</f>
        <v/>
      </c>
      <c r="E7" s="31">
        <f>Price_Curve!C7</f>
        <v/>
      </c>
      <c r="F7" s="28">
        <f>1</f>
        <v/>
      </c>
      <c r="G7" s="28">
        <f>IF(RANK(D7,INDIRECT("D"&amp;(6+INT((ROW()-6)/24)*24)&amp;":D"&amp;(6+INT((ROW()-6)/24)*24+23)),0)&lt;=Hrs_Daytime,1,0)</f>
        <v/>
      </c>
      <c r="H7" s="28">
        <f>IF(RANK(D7,INDIRECT("D"&amp;(6+INT((ROW()-6)/24)*24)&amp;":D"&amp;(6+INT((ROW()-6)/24)*24+23)),0)&lt;=Hrs_Curt,1,0)</f>
        <v/>
      </c>
      <c r="I7" s="36">
        <f>F7*(Rev_Firm - E7*Load_kW/1000) - (1-F7)*Idle_kW/1000*E7</f>
        <v/>
      </c>
      <c r="J7" s="36">
        <f>G7*(Rev_Firm - E7*Load_kW/1000) - (1-G7)*Idle_kW/1000*E7</f>
        <v/>
      </c>
      <c r="K7" s="36">
        <f>H7*(Rev_Interr - Curt_Price*Load_kW/1000) - (1-H7)*Idle_kW/1000*E7</f>
        <v/>
      </c>
    </row>
    <row r="8">
      <c r="B8" t="inlineStr">
        <is>
          <t>Winter</t>
        </is>
      </c>
      <c r="C8" t="n">
        <v>2</v>
      </c>
      <c r="D8" s="27">
        <f>Solar_Profile!C8</f>
        <v/>
      </c>
      <c r="E8" s="31">
        <f>Price_Curve!C8</f>
        <v/>
      </c>
      <c r="F8" s="28">
        <f>1</f>
        <v/>
      </c>
      <c r="G8" s="28">
        <f>IF(RANK(D8,INDIRECT("D"&amp;(6+INT((ROW()-6)/24)*24)&amp;":D"&amp;(6+INT((ROW()-6)/24)*24+23)),0)&lt;=Hrs_Daytime,1,0)</f>
        <v/>
      </c>
      <c r="H8" s="28">
        <f>IF(RANK(D8,INDIRECT("D"&amp;(6+INT((ROW()-6)/24)*24)&amp;":D"&amp;(6+INT((ROW()-6)/24)*24+23)),0)&lt;=Hrs_Curt,1,0)</f>
        <v/>
      </c>
      <c r="I8" s="36">
        <f>F8*(Rev_Firm - E8*Load_kW/1000) - (1-F8)*Idle_kW/1000*E8</f>
        <v/>
      </c>
      <c r="J8" s="36">
        <f>G8*(Rev_Firm - E8*Load_kW/1000) - (1-G8)*Idle_kW/1000*E8</f>
        <v/>
      </c>
      <c r="K8" s="36">
        <f>H8*(Rev_Interr - Curt_Price*Load_kW/1000) - (1-H8)*Idle_kW/1000*E8</f>
        <v/>
      </c>
    </row>
    <row r="9">
      <c r="B9" t="inlineStr">
        <is>
          <t>Winter</t>
        </is>
      </c>
      <c r="C9" t="n">
        <v>3</v>
      </c>
      <c r="D9" s="27">
        <f>Solar_Profile!C9</f>
        <v/>
      </c>
      <c r="E9" s="31">
        <f>Price_Curve!C9</f>
        <v/>
      </c>
      <c r="F9" s="28">
        <f>1</f>
        <v/>
      </c>
      <c r="G9" s="28">
        <f>IF(RANK(D9,INDIRECT("D"&amp;(6+INT((ROW()-6)/24)*24)&amp;":D"&amp;(6+INT((ROW()-6)/24)*24+23)),0)&lt;=Hrs_Daytime,1,0)</f>
        <v/>
      </c>
      <c r="H9" s="28">
        <f>IF(RANK(D9,INDIRECT("D"&amp;(6+INT((ROW()-6)/24)*24)&amp;":D"&amp;(6+INT((ROW()-6)/24)*24+23)),0)&lt;=Hrs_Curt,1,0)</f>
        <v/>
      </c>
      <c r="I9" s="36">
        <f>F9*(Rev_Firm - E9*Load_kW/1000) - (1-F9)*Idle_kW/1000*E9</f>
        <v/>
      </c>
      <c r="J9" s="36">
        <f>G9*(Rev_Firm - E9*Load_kW/1000) - (1-G9)*Idle_kW/1000*E9</f>
        <v/>
      </c>
      <c r="K9" s="36">
        <f>H9*(Rev_Interr - Curt_Price*Load_kW/1000) - (1-H9)*Idle_kW/1000*E9</f>
        <v/>
      </c>
    </row>
    <row r="10">
      <c r="B10" t="inlineStr">
        <is>
          <t>Winter</t>
        </is>
      </c>
      <c r="C10" t="n">
        <v>4</v>
      </c>
      <c r="D10" s="27">
        <f>Solar_Profile!C10</f>
        <v/>
      </c>
      <c r="E10" s="31">
        <f>Price_Curve!C10</f>
        <v/>
      </c>
      <c r="F10" s="28">
        <f>1</f>
        <v/>
      </c>
      <c r="G10" s="28">
        <f>IF(RANK(D10,INDIRECT("D"&amp;(6+INT((ROW()-6)/24)*24)&amp;":D"&amp;(6+INT((ROW()-6)/24)*24+23)),0)&lt;=Hrs_Daytime,1,0)</f>
        <v/>
      </c>
      <c r="H10" s="28">
        <f>IF(RANK(D10,INDIRECT("D"&amp;(6+INT((ROW()-6)/24)*24)&amp;":D"&amp;(6+INT((ROW()-6)/24)*24+23)),0)&lt;=Hrs_Curt,1,0)</f>
        <v/>
      </c>
      <c r="I10" s="36">
        <f>F10*(Rev_Firm - E10*Load_kW/1000) - (1-F10)*Idle_kW/1000*E10</f>
        <v/>
      </c>
      <c r="J10" s="36">
        <f>G10*(Rev_Firm - E10*Load_kW/1000) - (1-G10)*Idle_kW/1000*E10</f>
        <v/>
      </c>
      <c r="K10" s="36">
        <f>H10*(Rev_Interr - Curt_Price*Load_kW/1000) - (1-H10)*Idle_kW/1000*E10</f>
        <v/>
      </c>
    </row>
    <row r="11">
      <c r="B11" t="inlineStr">
        <is>
          <t>Winter</t>
        </is>
      </c>
      <c r="C11" t="n">
        <v>5</v>
      </c>
      <c r="D11" s="27">
        <f>Solar_Profile!C11</f>
        <v/>
      </c>
      <c r="E11" s="31">
        <f>Price_Curve!C11</f>
        <v/>
      </c>
      <c r="F11" s="28">
        <f>1</f>
        <v/>
      </c>
      <c r="G11" s="28">
        <f>IF(RANK(D11,INDIRECT("D"&amp;(6+INT((ROW()-6)/24)*24)&amp;":D"&amp;(6+INT((ROW()-6)/24)*24+23)),0)&lt;=Hrs_Daytime,1,0)</f>
        <v/>
      </c>
      <c r="H11" s="28">
        <f>IF(RANK(D11,INDIRECT("D"&amp;(6+INT((ROW()-6)/24)*24)&amp;":D"&amp;(6+INT((ROW()-6)/24)*24+23)),0)&lt;=Hrs_Curt,1,0)</f>
        <v/>
      </c>
      <c r="I11" s="36">
        <f>F11*(Rev_Firm - E11*Load_kW/1000) - (1-F11)*Idle_kW/1000*E11</f>
        <v/>
      </c>
      <c r="J11" s="36">
        <f>G11*(Rev_Firm - E11*Load_kW/1000) - (1-G11)*Idle_kW/1000*E11</f>
        <v/>
      </c>
      <c r="K11" s="36">
        <f>H11*(Rev_Interr - Curt_Price*Load_kW/1000) - (1-H11)*Idle_kW/1000*E11</f>
        <v/>
      </c>
    </row>
    <row r="12">
      <c r="B12" t="inlineStr">
        <is>
          <t>Winter</t>
        </is>
      </c>
      <c r="C12" t="n">
        <v>6</v>
      </c>
      <c r="D12" s="27">
        <f>Solar_Profile!C12</f>
        <v/>
      </c>
      <c r="E12" s="31">
        <f>Price_Curve!C12</f>
        <v/>
      </c>
      <c r="F12" s="28">
        <f>1</f>
        <v/>
      </c>
      <c r="G12" s="28">
        <f>IF(RANK(D12,INDIRECT("D"&amp;(6+INT((ROW()-6)/24)*24)&amp;":D"&amp;(6+INT((ROW()-6)/24)*24+23)),0)&lt;=Hrs_Daytime,1,0)</f>
        <v/>
      </c>
      <c r="H12" s="28">
        <f>IF(RANK(D12,INDIRECT("D"&amp;(6+INT((ROW()-6)/24)*24)&amp;":D"&amp;(6+INT((ROW()-6)/24)*24+23)),0)&lt;=Hrs_Curt,1,0)</f>
        <v/>
      </c>
      <c r="I12" s="36">
        <f>F12*(Rev_Firm - E12*Load_kW/1000) - (1-F12)*Idle_kW/1000*E12</f>
        <v/>
      </c>
      <c r="J12" s="36">
        <f>G12*(Rev_Firm - E12*Load_kW/1000) - (1-G12)*Idle_kW/1000*E12</f>
        <v/>
      </c>
      <c r="K12" s="36">
        <f>H12*(Rev_Interr - Curt_Price*Load_kW/1000) - (1-H12)*Idle_kW/1000*E12</f>
        <v/>
      </c>
    </row>
    <row r="13">
      <c r="B13" t="inlineStr">
        <is>
          <t>Winter</t>
        </is>
      </c>
      <c r="C13" t="n">
        <v>7</v>
      </c>
      <c r="D13" s="27">
        <f>Solar_Profile!C13</f>
        <v/>
      </c>
      <c r="E13" s="31">
        <f>Price_Curve!C13</f>
        <v/>
      </c>
      <c r="F13" s="28">
        <f>1</f>
        <v/>
      </c>
      <c r="G13" s="28">
        <f>IF(RANK(D13,INDIRECT("D"&amp;(6+INT((ROW()-6)/24)*24)&amp;":D"&amp;(6+INT((ROW()-6)/24)*24+23)),0)&lt;=Hrs_Daytime,1,0)</f>
        <v/>
      </c>
      <c r="H13" s="28">
        <f>IF(RANK(D13,INDIRECT("D"&amp;(6+INT((ROW()-6)/24)*24)&amp;":D"&amp;(6+INT((ROW()-6)/24)*24+23)),0)&lt;=Hrs_Curt,1,0)</f>
        <v/>
      </c>
      <c r="I13" s="36">
        <f>F13*(Rev_Firm - E13*Load_kW/1000) - (1-F13)*Idle_kW/1000*E13</f>
        <v/>
      </c>
      <c r="J13" s="36">
        <f>G13*(Rev_Firm - E13*Load_kW/1000) - (1-G13)*Idle_kW/1000*E13</f>
        <v/>
      </c>
      <c r="K13" s="36">
        <f>H13*(Rev_Interr - Curt_Price*Load_kW/1000) - (1-H13)*Idle_kW/1000*E13</f>
        <v/>
      </c>
    </row>
    <row r="14">
      <c r="B14" t="inlineStr">
        <is>
          <t>Winter</t>
        </is>
      </c>
      <c r="C14" t="n">
        <v>8</v>
      </c>
      <c r="D14" s="27">
        <f>Solar_Profile!C14</f>
        <v/>
      </c>
      <c r="E14" s="31">
        <f>Price_Curve!C14</f>
        <v/>
      </c>
      <c r="F14" s="28">
        <f>1</f>
        <v/>
      </c>
      <c r="G14" s="28">
        <f>IF(RANK(D14,INDIRECT("D"&amp;(6+INT((ROW()-6)/24)*24)&amp;":D"&amp;(6+INT((ROW()-6)/24)*24+23)),0)&lt;=Hrs_Daytime,1,0)</f>
        <v/>
      </c>
      <c r="H14" s="28">
        <f>IF(RANK(D14,INDIRECT("D"&amp;(6+INT((ROW()-6)/24)*24)&amp;":D"&amp;(6+INT((ROW()-6)/24)*24+23)),0)&lt;=Hrs_Curt,1,0)</f>
        <v/>
      </c>
      <c r="I14" s="36">
        <f>F14*(Rev_Firm - E14*Load_kW/1000) - (1-F14)*Idle_kW/1000*E14</f>
        <v/>
      </c>
      <c r="J14" s="36">
        <f>G14*(Rev_Firm - E14*Load_kW/1000) - (1-G14)*Idle_kW/1000*E14</f>
        <v/>
      </c>
      <c r="K14" s="36">
        <f>H14*(Rev_Interr - Curt_Price*Load_kW/1000) - (1-H14)*Idle_kW/1000*E14</f>
        <v/>
      </c>
    </row>
    <row r="15">
      <c r="B15" t="inlineStr">
        <is>
          <t>Winter</t>
        </is>
      </c>
      <c r="C15" t="n">
        <v>9</v>
      </c>
      <c r="D15" s="27">
        <f>Solar_Profile!C15</f>
        <v/>
      </c>
      <c r="E15" s="31">
        <f>Price_Curve!C15</f>
        <v/>
      </c>
      <c r="F15" s="28">
        <f>1</f>
        <v/>
      </c>
      <c r="G15" s="28">
        <f>IF(RANK(D15,INDIRECT("D"&amp;(6+INT((ROW()-6)/24)*24)&amp;":D"&amp;(6+INT((ROW()-6)/24)*24+23)),0)&lt;=Hrs_Daytime,1,0)</f>
        <v/>
      </c>
      <c r="H15" s="28">
        <f>IF(RANK(D15,INDIRECT("D"&amp;(6+INT((ROW()-6)/24)*24)&amp;":D"&amp;(6+INT((ROW()-6)/24)*24+23)),0)&lt;=Hrs_Curt,1,0)</f>
        <v/>
      </c>
      <c r="I15" s="36">
        <f>F15*(Rev_Firm - E15*Load_kW/1000) - (1-F15)*Idle_kW/1000*E15</f>
        <v/>
      </c>
      <c r="J15" s="36">
        <f>G15*(Rev_Firm - E15*Load_kW/1000) - (1-G15)*Idle_kW/1000*E15</f>
        <v/>
      </c>
      <c r="K15" s="36">
        <f>H15*(Rev_Interr - Curt_Price*Load_kW/1000) - (1-H15)*Idle_kW/1000*E15</f>
        <v/>
      </c>
    </row>
    <row r="16">
      <c r="B16" t="inlineStr">
        <is>
          <t>Winter</t>
        </is>
      </c>
      <c r="C16" t="n">
        <v>10</v>
      </c>
      <c r="D16" s="27">
        <f>Solar_Profile!C16</f>
        <v/>
      </c>
      <c r="E16" s="31">
        <f>Price_Curve!C16</f>
        <v/>
      </c>
      <c r="F16" s="28">
        <f>1</f>
        <v/>
      </c>
      <c r="G16" s="28">
        <f>IF(RANK(D16,INDIRECT("D"&amp;(6+INT((ROW()-6)/24)*24)&amp;":D"&amp;(6+INT((ROW()-6)/24)*24+23)),0)&lt;=Hrs_Daytime,1,0)</f>
        <v/>
      </c>
      <c r="H16" s="28">
        <f>IF(RANK(D16,INDIRECT("D"&amp;(6+INT((ROW()-6)/24)*24)&amp;":D"&amp;(6+INT((ROW()-6)/24)*24+23)),0)&lt;=Hrs_Curt,1,0)</f>
        <v/>
      </c>
      <c r="I16" s="36">
        <f>F16*(Rev_Firm - E16*Load_kW/1000) - (1-F16)*Idle_kW/1000*E16</f>
        <v/>
      </c>
      <c r="J16" s="36">
        <f>G16*(Rev_Firm - E16*Load_kW/1000) - (1-G16)*Idle_kW/1000*E16</f>
        <v/>
      </c>
      <c r="K16" s="36">
        <f>H16*(Rev_Interr - Curt_Price*Load_kW/1000) - (1-H16)*Idle_kW/1000*E16</f>
        <v/>
      </c>
    </row>
    <row r="17">
      <c r="B17" t="inlineStr">
        <is>
          <t>Winter</t>
        </is>
      </c>
      <c r="C17" t="n">
        <v>11</v>
      </c>
      <c r="D17" s="27">
        <f>Solar_Profile!C17</f>
        <v/>
      </c>
      <c r="E17" s="31">
        <f>Price_Curve!C17</f>
        <v/>
      </c>
      <c r="F17" s="28">
        <f>1</f>
        <v/>
      </c>
      <c r="G17" s="28">
        <f>IF(RANK(D17,INDIRECT("D"&amp;(6+INT((ROW()-6)/24)*24)&amp;":D"&amp;(6+INT((ROW()-6)/24)*24+23)),0)&lt;=Hrs_Daytime,1,0)</f>
        <v/>
      </c>
      <c r="H17" s="28">
        <f>IF(RANK(D17,INDIRECT("D"&amp;(6+INT((ROW()-6)/24)*24)&amp;":D"&amp;(6+INT((ROW()-6)/24)*24+23)),0)&lt;=Hrs_Curt,1,0)</f>
        <v/>
      </c>
      <c r="I17" s="36">
        <f>F17*(Rev_Firm - E17*Load_kW/1000) - (1-F17)*Idle_kW/1000*E17</f>
        <v/>
      </c>
      <c r="J17" s="36">
        <f>G17*(Rev_Firm - E17*Load_kW/1000) - (1-G17)*Idle_kW/1000*E17</f>
        <v/>
      </c>
      <c r="K17" s="36">
        <f>H17*(Rev_Interr - Curt_Price*Load_kW/1000) - (1-H17)*Idle_kW/1000*E17</f>
        <v/>
      </c>
    </row>
    <row r="18">
      <c r="B18" t="inlineStr">
        <is>
          <t>Winter</t>
        </is>
      </c>
      <c r="C18" t="n">
        <v>12</v>
      </c>
      <c r="D18" s="27">
        <f>Solar_Profile!C18</f>
        <v/>
      </c>
      <c r="E18" s="31">
        <f>Price_Curve!C18</f>
        <v/>
      </c>
      <c r="F18" s="28">
        <f>1</f>
        <v/>
      </c>
      <c r="G18" s="28">
        <f>IF(RANK(D18,INDIRECT("D"&amp;(6+INT((ROW()-6)/24)*24)&amp;":D"&amp;(6+INT((ROW()-6)/24)*24+23)),0)&lt;=Hrs_Daytime,1,0)</f>
        <v/>
      </c>
      <c r="H18" s="28">
        <f>IF(RANK(D18,INDIRECT("D"&amp;(6+INT((ROW()-6)/24)*24)&amp;":D"&amp;(6+INT((ROW()-6)/24)*24+23)),0)&lt;=Hrs_Curt,1,0)</f>
        <v/>
      </c>
      <c r="I18" s="36">
        <f>F18*(Rev_Firm - E18*Load_kW/1000) - (1-F18)*Idle_kW/1000*E18</f>
        <v/>
      </c>
      <c r="J18" s="36">
        <f>G18*(Rev_Firm - E18*Load_kW/1000) - (1-G18)*Idle_kW/1000*E18</f>
        <v/>
      </c>
      <c r="K18" s="36">
        <f>H18*(Rev_Interr - Curt_Price*Load_kW/1000) - (1-H18)*Idle_kW/1000*E18</f>
        <v/>
      </c>
    </row>
    <row r="19">
      <c r="B19" t="inlineStr">
        <is>
          <t>Winter</t>
        </is>
      </c>
      <c r="C19" t="n">
        <v>13</v>
      </c>
      <c r="D19" s="27">
        <f>Solar_Profile!C19</f>
        <v/>
      </c>
      <c r="E19" s="31">
        <f>Price_Curve!C19</f>
        <v/>
      </c>
      <c r="F19" s="28">
        <f>1</f>
        <v/>
      </c>
      <c r="G19" s="28">
        <f>IF(RANK(D19,INDIRECT("D"&amp;(6+INT((ROW()-6)/24)*24)&amp;":D"&amp;(6+INT((ROW()-6)/24)*24+23)),0)&lt;=Hrs_Daytime,1,0)</f>
        <v/>
      </c>
      <c r="H19" s="28">
        <f>IF(RANK(D19,INDIRECT("D"&amp;(6+INT((ROW()-6)/24)*24)&amp;":D"&amp;(6+INT((ROW()-6)/24)*24+23)),0)&lt;=Hrs_Curt,1,0)</f>
        <v/>
      </c>
      <c r="I19" s="36">
        <f>F19*(Rev_Firm - E19*Load_kW/1000) - (1-F19)*Idle_kW/1000*E19</f>
        <v/>
      </c>
      <c r="J19" s="36">
        <f>G19*(Rev_Firm - E19*Load_kW/1000) - (1-G19)*Idle_kW/1000*E19</f>
        <v/>
      </c>
      <c r="K19" s="36">
        <f>H19*(Rev_Interr - Curt_Price*Load_kW/1000) - (1-H19)*Idle_kW/1000*E19</f>
        <v/>
      </c>
    </row>
    <row r="20">
      <c r="B20" t="inlineStr">
        <is>
          <t>Winter</t>
        </is>
      </c>
      <c r="C20" t="n">
        <v>14</v>
      </c>
      <c r="D20" s="27">
        <f>Solar_Profile!C20</f>
        <v/>
      </c>
      <c r="E20" s="31">
        <f>Price_Curve!C20</f>
        <v/>
      </c>
      <c r="F20" s="28">
        <f>1</f>
        <v/>
      </c>
      <c r="G20" s="28">
        <f>IF(RANK(D20,INDIRECT("D"&amp;(6+INT((ROW()-6)/24)*24)&amp;":D"&amp;(6+INT((ROW()-6)/24)*24+23)),0)&lt;=Hrs_Daytime,1,0)</f>
        <v/>
      </c>
      <c r="H20" s="28">
        <f>IF(RANK(D20,INDIRECT("D"&amp;(6+INT((ROW()-6)/24)*24)&amp;":D"&amp;(6+INT((ROW()-6)/24)*24+23)),0)&lt;=Hrs_Curt,1,0)</f>
        <v/>
      </c>
      <c r="I20" s="36">
        <f>F20*(Rev_Firm - E20*Load_kW/1000) - (1-F20)*Idle_kW/1000*E20</f>
        <v/>
      </c>
      <c r="J20" s="36">
        <f>G20*(Rev_Firm - E20*Load_kW/1000) - (1-G20)*Idle_kW/1000*E20</f>
        <v/>
      </c>
      <c r="K20" s="36">
        <f>H20*(Rev_Interr - Curt_Price*Load_kW/1000) - (1-H20)*Idle_kW/1000*E20</f>
        <v/>
      </c>
    </row>
    <row r="21">
      <c r="B21" t="inlineStr">
        <is>
          <t>Winter</t>
        </is>
      </c>
      <c r="C21" t="n">
        <v>15</v>
      </c>
      <c r="D21" s="27">
        <f>Solar_Profile!C21</f>
        <v/>
      </c>
      <c r="E21" s="31">
        <f>Price_Curve!C21</f>
        <v/>
      </c>
      <c r="F21" s="28">
        <f>1</f>
        <v/>
      </c>
      <c r="G21" s="28">
        <f>IF(RANK(D21,INDIRECT("D"&amp;(6+INT((ROW()-6)/24)*24)&amp;":D"&amp;(6+INT((ROW()-6)/24)*24+23)),0)&lt;=Hrs_Daytime,1,0)</f>
        <v/>
      </c>
      <c r="H21" s="28">
        <f>IF(RANK(D21,INDIRECT("D"&amp;(6+INT((ROW()-6)/24)*24)&amp;":D"&amp;(6+INT((ROW()-6)/24)*24+23)),0)&lt;=Hrs_Curt,1,0)</f>
        <v/>
      </c>
      <c r="I21" s="36">
        <f>F21*(Rev_Firm - E21*Load_kW/1000) - (1-F21)*Idle_kW/1000*E21</f>
        <v/>
      </c>
      <c r="J21" s="36">
        <f>G21*(Rev_Firm - E21*Load_kW/1000) - (1-G21)*Idle_kW/1000*E21</f>
        <v/>
      </c>
      <c r="K21" s="36">
        <f>H21*(Rev_Interr - Curt_Price*Load_kW/1000) - (1-H21)*Idle_kW/1000*E21</f>
        <v/>
      </c>
    </row>
    <row r="22">
      <c r="B22" t="inlineStr">
        <is>
          <t>Winter</t>
        </is>
      </c>
      <c r="C22" t="n">
        <v>16</v>
      </c>
      <c r="D22" s="27">
        <f>Solar_Profile!C22</f>
        <v/>
      </c>
      <c r="E22" s="31">
        <f>Price_Curve!C22</f>
        <v/>
      </c>
      <c r="F22" s="28">
        <f>1</f>
        <v/>
      </c>
      <c r="G22" s="28">
        <f>IF(RANK(D22,INDIRECT("D"&amp;(6+INT((ROW()-6)/24)*24)&amp;":D"&amp;(6+INT((ROW()-6)/24)*24+23)),0)&lt;=Hrs_Daytime,1,0)</f>
        <v/>
      </c>
      <c r="H22" s="28">
        <f>IF(RANK(D22,INDIRECT("D"&amp;(6+INT((ROW()-6)/24)*24)&amp;":D"&amp;(6+INT((ROW()-6)/24)*24+23)),0)&lt;=Hrs_Curt,1,0)</f>
        <v/>
      </c>
      <c r="I22" s="36">
        <f>F22*(Rev_Firm - E22*Load_kW/1000) - (1-F22)*Idle_kW/1000*E22</f>
        <v/>
      </c>
      <c r="J22" s="36">
        <f>G22*(Rev_Firm - E22*Load_kW/1000) - (1-G22)*Idle_kW/1000*E22</f>
        <v/>
      </c>
      <c r="K22" s="36">
        <f>H22*(Rev_Interr - Curt_Price*Load_kW/1000) - (1-H22)*Idle_kW/1000*E22</f>
        <v/>
      </c>
    </row>
    <row r="23">
      <c r="B23" t="inlineStr">
        <is>
          <t>Winter</t>
        </is>
      </c>
      <c r="C23" t="n">
        <v>17</v>
      </c>
      <c r="D23" s="27">
        <f>Solar_Profile!C23</f>
        <v/>
      </c>
      <c r="E23" s="31">
        <f>Price_Curve!C23</f>
        <v/>
      </c>
      <c r="F23" s="28">
        <f>1</f>
        <v/>
      </c>
      <c r="G23" s="28">
        <f>IF(RANK(D23,INDIRECT("D"&amp;(6+INT((ROW()-6)/24)*24)&amp;":D"&amp;(6+INT((ROW()-6)/24)*24+23)),0)&lt;=Hrs_Daytime,1,0)</f>
        <v/>
      </c>
      <c r="H23" s="28">
        <f>IF(RANK(D23,INDIRECT("D"&amp;(6+INT((ROW()-6)/24)*24)&amp;":D"&amp;(6+INT((ROW()-6)/24)*24+23)),0)&lt;=Hrs_Curt,1,0)</f>
        <v/>
      </c>
      <c r="I23" s="36">
        <f>F23*(Rev_Firm - E23*Load_kW/1000) - (1-F23)*Idle_kW/1000*E23</f>
        <v/>
      </c>
      <c r="J23" s="36">
        <f>G23*(Rev_Firm - E23*Load_kW/1000) - (1-G23)*Idle_kW/1000*E23</f>
        <v/>
      </c>
      <c r="K23" s="36">
        <f>H23*(Rev_Interr - Curt_Price*Load_kW/1000) - (1-H23)*Idle_kW/1000*E23</f>
        <v/>
      </c>
    </row>
    <row r="24">
      <c r="B24" t="inlineStr">
        <is>
          <t>Winter</t>
        </is>
      </c>
      <c r="C24" t="n">
        <v>18</v>
      </c>
      <c r="D24" s="27">
        <f>Solar_Profile!C24</f>
        <v/>
      </c>
      <c r="E24" s="31">
        <f>Price_Curve!C24</f>
        <v/>
      </c>
      <c r="F24" s="28">
        <f>1</f>
        <v/>
      </c>
      <c r="G24" s="28">
        <f>IF(RANK(D24,INDIRECT("D"&amp;(6+INT((ROW()-6)/24)*24)&amp;":D"&amp;(6+INT((ROW()-6)/24)*24+23)),0)&lt;=Hrs_Daytime,1,0)</f>
        <v/>
      </c>
      <c r="H24" s="28">
        <f>IF(RANK(D24,INDIRECT("D"&amp;(6+INT((ROW()-6)/24)*24)&amp;":D"&amp;(6+INT((ROW()-6)/24)*24+23)),0)&lt;=Hrs_Curt,1,0)</f>
        <v/>
      </c>
      <c r="I24" s="36">
        <f>F24*(Rev_Firm - E24*Load_kW/1000) - (1-F24)*Idle_kW/1000*E24</f>
        <v/>
      </c>
      <c r="J24" s="36">
        <f>G24*(Rev_Firm - E24*Load_kW/1000) - (1-G24)*Idle_kW/1000*E24</f>
        <v/>
      </c>
      <c r="K24" s="36">
        <f>H24*(Rev_Interr - Curt_Price*Load_kW/1000) - (1-H24)*Idle_kW/1000*E24</f>
        <v/>
      </c>
    </row>
    <row r="25">
      <c r="B25" t="inlineStr">
        <is>
          <t>Winter</t>
        </is>
      </c>
      <c r="C25" t="n">
        <v>19</v>
      </c>
      <c r="D25" s="27">
        <f>Solar_Profile!C25</f>
        <v/>
      </c>
      <c r="E25" s="31">
        <f>Price_Curve!C25</f>
        <v/>
      </c>
      <c r="F25" s="28">
        <f>1</f>
        <v/>
      </c>
      <c r="G25" s="28">
        <f>IF(RANK(D25,INDIRECT("D"&amp;(6+INT((ROW()-6)/24)*24)&amp;":D"&amp;(6+INT((ROW()-6)/24)*24+23)),0)&lt;=Hrs_Daytime,1,0)</f>
        <v/>
      </c>
      <c r="H25" s="28">
        <f>IF(RANK(D25,INDIRECT("D"&amp;(6+INT((ROW()-6)/24)*24)&amp;":D"&amp;(6+INT((ROW()-6)/24)*24+23)),0)&lt;=Hrs_Curt,1,0)</f>
        <v/>
      </c>
      <c r="I25" s="36">
        <f>F25*(Rev_Firm - E25*Load_kW/1000) - (1-F25)*Idle_kW/1000*E25</f>
        <v/>
      </c>
      <c r="J25" s="36">
        <f>G25*(Rev_Firm - E25*Load_kW/1000) - (1-G25)*Idle_kW/1000*E25</f>
        <v/>
      </c>
      <c r="K25" s="36">
        <f>H25*(Rev_Interr - Curt_Price*Load_kW/1000) - (1-H25)*Idle_kW/1000*E25</f>
        <v/>
      </c>
    </row>
    <row r="26">
      <c r="B26" t="inlineStr">
        <is>
          <t>Winter</t>
        </is>
      </c>
      <c r="C26" t="n">
        <v>20</v>
      </c>
      <c r="D26" s="27">
        <f>Solar_Profile!C26</f>
        <v/>
      </c>
      <c r="E26" s="31">
        <f>Price_Curve!C26</f>
        <v/>
      </c>
      <c r="F26" s="28">
        <f>1</f>
        <v/>
      </c>
      <c r="G26" s="28">
        <f>IF(RANK(D26,INDIRECT("D"&amp;(6+INT((ROW()-6)/24)*24)&amp;":D"&amp;(6+INT((ROW()-6)/24)*24+23)),0)&lt;=Hrs_Daytime,1,0)</f>
        <v/>
      </c>
      <c r="H26" s="28">
        <f>IF(RANK(D26,INDIRECT("D"&amp;(6+INT((ROW()-6)/24)*24)&amp;":D"&amp;(6+INT((ROW()-6)/24)*24+23)),0)&lt;=Hrs_Curt,1,0)</f>
        <v/>
      </c>
      <c r="I26" s="36">
        <f>F26*(Rev_Firm - E26*Load_kW/1000) - (1-F26)*Idle_kW/1000*E26</f>
        <v/>
      </c>
      <c r="J26" s="36">
        <f>G26*(Rev_Firm - E26*Load_kW/1000) - (1-G26)*Idle_kW/1000*E26</f>
        <v/>
      </c>
      <c r="K26" s="36">
        <f>H26*(Rev_Interr - Curt_Price*Load_kW/1000) - (1-H26)*Idle_kW/1000*E26</f>
        <v/>
      </c>
    </row>
    <row r="27">
      <c r="B27" t="inlineStr">
        <is>
          <t>Winter</t>
        </is>
      </c>
      <c r="C27" t="n">
        <v>21</v>
      </c>
      <c r="D27" s="27">
        <f>Solar_Profile!C27</f>
        <v/>
      </c>
      <c r="E27" s="31">
        <f>Price_Curve!C27</f>
        <v/>
      </c>
      <c r="F27" s="28">
        <f>1</f>
        <v/>
      </c>
      <c r="G27" s="28">
        <f>IF(RANK(D27,INDIRECT("D"&amp;(6+INT((ROW()-6)/24)*24)&amp;":D"&amp;(6+INT((ROW()-6)/24)*24+23)),0)&lt;=Hrs_Daytime,1,0)</f>
        <v/>
      </c>
      <c r="H27" s="28">
        <f>IF(RANK(D27,INDIRECT("D"&amp;(6+INT((ROW()-6)/24)*24)&amp;":D"&amp;(6+INT((ROW()-6)/24)*24+23)),0)&lt;=Hrs_Curt,1,0)</f>
        <v/>
      </c>
      <c r="I27" s="36">
        <f>F27*(Rev_Firm - E27*Load_kW/1000) - (1-F27)*Idle_kW/1000*E27</f>
        <v/>
      </c>
      <c r="J27" s="36">
        <f>G27*(Rev_Firm - E27*Load_kW/1000) - (1-G27)*Idle_kW/1000*E27</f>
        <v/>
      </c>
      <c r="K27" s="36">
        <f>H27*(Rev_Interr - Curt_Price*Load_kW/1000) - (1-H27)*Idle_kW/1000*E27</f>
        <v/>
      </c>
    </row>
    <row r="28">
      <c r="B28" t="inlineStr">
        <is>
          <t>Winter</t>
        </is>
      </c>
      <c r="C28" t="n">
        <v>22</v>
      </c>
      <c r="D28" s="27">
        <f>Solar_Profile!C28</f>
        <v/>
      </c>
      <c r="E28" s="31">
        <f>Price_Curve!C28</f>
        <v/>
      </c>
      <c r="F28" s="28">
        <f>1</f>
        <v/>
      </c>
      <c r="G28" s="28">
        <f>IF(RANK(D28,INDIRECT("D"&amp;(6+INT((ROW()-6)/24)*24)&amp;":D"&amp;(6+INT((ROW()-6)/24)*24+23)),0)&lt;=Hrs_Daytime,1,0)</f>
        <v/>
      </c>
      <c r="H28" s="28">
        <f>IF(RANK(D28,INDIRECT("D"&amp;(6+INT((ROW()-6)/24)*24)&amp;":D"&amp;(6+INT((ROW()-6)/24)*24+23)),0)&lt;=Hrs_Curt,1,0)</f>
        <v/>
      </c>
      <c r="I28" s="36">
        <f>F28*(Rev_Firm - E28*Load_kW/1000) - (1-F28)*Idle_kW/1000*E28</f>
        <v/>
      </c>
      <c r="J28" s="36">
        <f>G28*(Rev_Firm - E28*Load_kW/1000) - (1-G28)*Idle_kW/1000*E28</f>
        <v/>
      </c>
      <c r="K28" s="36">
        <f>H28*(Rev_Interr - Curt_Price*Load_kW/1000) - (1-H28)*Idle_kW/1000*E28</f>
        <v/>
      </c>
    </row>
    <row r="29">
      <c r="B29" t="inlineStr">
        <is>
          <t>Winter</t>
        </is>
      </c>
      <c r="C29" t="n">
        <v>23</v>
      </c>
      <c r="D29" s="27">
        <f>Solar_Profile!C29</f>
        <v/>
      </c>
      <c r="E29" s="31">
        <f>Price_Curve!C29</f>
        <v/>
      </c>
      <c r="F29" s="28">
        <f>1</f>
        <v/>
      </c>
      <c r="G29" s="28">
        <f>IF(RANK(D29,INDIRECT("D"&amp;(6+INT((ROW()-6)/24)*24)&amp;":D"&amp;(6+INT((ROW()-6)/24)*24+23)),0)&lt;=Hrs_Daytime,1,0)</f>
        <v/>
      </c>
      <c r="H29" s="28">
        <f>IF(RANK(D29,INDIRECT("D"&amp;(6+INT((ROW()-6)/24)*24)&amp;":D"&amp;(6+INT((ROW()-6)/24)*24+23)),0)&lt;=Hrs_Curt,1,0)</f>
        <v/>
      </c>
      <c r="I29" s="36">
        <f>F29*(Rev_Firm - E29*Load_kW/1000) - (1-F29)*Idle_kW/1000*E29</f>
        <v/>
      </c>
      <c r="J29" s="36">
        <f>G29*(Rev_Firm - E29*Load_kW/1000) - (1-G29)*Idle_kW/1000*E29</f>
        <v/>
      </c>
      <c r="K29" s="36">
        <f>H29*(Rev_Interr - Curt_Price*Load_kW/1000) - (1-H29)*Idle_kW/1000*E29</f>
        <v/>
      </c>
    </row>
    <row r="30">
      <c r="B30" t="inlineStr">
        <is>
          <t>Spring</t>
        </is>
      </c>
      <c r="C30" t="n">
        <v>0</v>
      </c>
      <c r="D30" s="27">
        <f>Solar_Profile!D6</f>
        <v/>
      </c>
      <c r="E30" s="31">
        <f>Price_Curve!D6</f>
        <v/>
      </c>
      <c r="F30" s="28">
        <f>1</f>
        <v/>
      </c>
      <c r="G30" s="28">
        <f>IF(RANK(D30,INDIRECT("D"&amp;(6+INT((ROW()-6)/24)*24)&amp;":D"&amp;(6+INT((ROW()-6)/24)*24+23)),0)&lt;=Hrs_Daytime,1,0)</f>
        <v/>
      </c>
      <c r="H30" s="28">
        <f>IF(RANK(D30,INDIRECT("D"&amp;(6+INT((ROW()-6)/24)*24)&amp;":D"&amp;(6+INT((ROW()-6)/24)*24+23)),0)&lt;=Hrs_Curt,1,0)</f>
        <v/>
      </c>
      <c r="I30" s="36">
        <f>F30*(Rev_Firm - E30*Load_kW/1000) - (1-F30)*Idle_kW/1000*E30</f>
        <v/>
      </c>
      <c r="J30" s="36">
        <f>G30*(Rev_Firm - E30*Load_kW/1000) - (1-G30)*Idle_kW/1000*E30</f>
        <v/>
      </c>
      <c r="K30" s="36">
        <f>H30*(Rev_Interr - Curt_Price*Load_kW/1000) - (1-H30)*Idle_kW/1000*E30</f>
        <v/>
      </c>
    </row>
    <row r="31">
      <c r="B31" t="inlineStr">
        <is>
          <t>Spring</t>
        </is>
      </c>
      <c r="C31" t="n">
        <v>1</v>
      </c>
      <c r="D31" s="27">
        <f>Solar_Profile!D7</f>
        <v/>
      </c>
      <c r="E31" s="31">
        <f>Price_Curve!D7</f>
        <v/>
      </c>
      <c r="F31" s="28">
        <f>1</f>
        <v/>
      </c>
      <c r="G31" s="28">
        <f>IF(RANK(D31,INDIRECT("D"&amp;(6+INT((ROW()-6)/24)*24)&amp;":D"&amp;(6+INT((ROW()-6)/24)*24+23)),0)&lt;=Hrs_Daytime,1,0)</f>
        <v/>
      </c>
      <c r="H31" s="28">
        <f>IF(RANK(D31,INDIRECT("D"&amp;(6+INT((ROW()-6)/24)*24)&amp;":D"&amp;(6+INT((ROW()-6)/24)*24+23)),0)&lt;=Hrs_Curt,1,0)</f>
        <v/>
      </c>
      <c r="I31" s="36">
        <f>F31*(Rev_Firm - E31*Load_kW/1000) - (1-F31)*Idle_kW/1000*E31</f>
        <v/>
      </c>
      <c r="J31" s="36">
        <f>G31*(Rev_Firm - E31*Load_kW/1000) - (1-G31)*Idle_kW/1000*E31</f>
        <v/>
      </c>
      <c r="K31" s="36">
        <f>H31*(Rev_Interr - Curt_Price*Load_kW/1000) - (1-H31)*Idle_kW/1000*E31</f>
        <v/>
      </c>
    </row>
    <row r="32">
      <c r="B32" t="inlineStr">
        <is>
          <t>Spring</t>
        </is>
      </c>
      <c r="C32" t="n">
        <v>2</v>
      </c>
      <c r="D32" s="27">
        <f>Solar_Profile!D8</f>
        <v/>
      </c>
      <c r="E32" s="31">
        <f>Price_Curve!D8</f>
        <v/>
      </c>
      <c r="F32" s="28">
        <f>1</f>
        <v/>
      </c>
      <c r="G32" s="28">
        <f>IF(RANK(D32,INDIRECT("D"&amp;(6+INT((ROW()-6)/24)*24)&amp;":D"&amp;(6+INT((ROW()-6)/24)*24+23)),0)&lt;=Hrs_Daytime,1,0)</f>
        <v/>
      </c>
      <c r="H32" s="28">
        <f>IF(RANK(D32,INDIRECT("D"&amp;(6+INT((ROW()-6)/24)*24)&amp;":D"&amp;(6+INT((ROW()-6)/24)*24+23)),0)&lt;=Hrs_Curt,1,0)</f>
        <v/>
      </c>
      <c r="I32" s="36">
        <f>F32*(Rev_Firm - E32*Load_kW/1000) - (1-F32)*Idle_kW/1000*E32</f>
        <v/>
      </c>
      <c r="J32" s="36">
        <f>G32*(Rev_Firm - E32*Load_kW/1000) - (1-G32)*Idle_kW/1000*E32</f>
        <v/>
      </c>
      <c r="K32" s="36">
        <f>H32*(Rev_Interr - Curt_Price*Load_kW/1000) - (1-H32)*Idle_kW/1000*E32</f>
        <v/>
      </c>
    </row>
    <row r="33">
      <c r="B33" t="inlineStr">
        <is>
          <t>Spring</t>
        </is>
      </c>
      <c r="C33" t="n">
        <v>3</v>
      </c>
      <c r="D33" s="27">
        <f>Solar_Profile!D9</f>
        <v/>
      </c>
      <c r="E33" s="31">
        <f>Price_Curve!D9</f>
        <v/>
      </c>
      <c r="F33" s="28">
        <f>1</f>
        <v/>
      </c>
      <c r="G33" s="28">
        <f>IF(RANK(D33,INDIRECT("D"&amp;(6+INT((ROW()-6)/24)*24)&amp;":D"&amp;(6+INT((ROW()-6)/24)*24+23)),0)&lt;=Hrs_Daytime,1,0)</f>
        <v/>
      </c>
      <c r="H33" s="28">
        <f>IF(RANK(D33,INDIRECT("D"&amp;(6+INT((ROW()-6)/24)*24)&amp;":D"&amp;(6+INT((ROW()-6)/24)*24+23)),0)&lt;=Hrs_Curt,1,0)</f>
        <v/>
      </c>
      <c r="I33" s="36">
        <f>F33*(Rev_Firm - E33*Load_kW/1000) - (1-F33)*Idle_kW/1000*E33</f>
        <v/>
      </c>
      <c r="J33" s="36">
        <f>G33*(Rev_Firm - E33*Load_kW/1000) - (1-G33)*Idle_kW/1000*E33</f>
        <v/>
      </c>
      <c r="K33" s="36">
        <f>H33*(Rev_Interr - Curt_Price*Load_kW/1000) - (1-H33)*Idle_kW/1000*E33</f>
        <v/>
      </c>
    </row>
    <row r="34">
      <c r="B34" t="inlineStr">
        <is>
          <t>Spring</t>
        </is>
      </c>
      <c r="C34" t="n">
        <v>4</v>
      </c>
      <c r="D34" s="27">
        <f>Solar_Profile!D10</f>
        <v/>
      </c>
      <c r="E34" s="31">
        <f>Price_Curve!D10</f>
        <v/>
      </c>
      <c r="F34" s="28">
        <f>1</f>
        <v/>
      </c>
      <c r="G34" s="28">
        <f>IF(RANK(D34,INDIRECT("D"&amp;(6+INT((ROW()-6)/24)*24)&amp;":D"&amp;(6+INT((ROW()-6)/24)*24+23)),0)&lt;=Hrs_Daytime,1,0)</f>
        <v/>
      </c>
      <c r="H34" s="28">
        <f>IF(RANK(D34,INDIRECT("D"&amp;(6+INT((ROW()-6)/24)*24)&amp;":D"&amp;(6+INT((ROW()-6)/24)*24+23)),0)&lt;=Hrs_Curt,1,0)</f>
        <v/>
      </c>
      <c r="I34" s="36">
        <f>F34*(Rev_Firm - E34*Load_kW/1000) - (1-F34)*Idle_kW/1000*E34</f>
        <v/>
      </c>
      <c r="J34" s="36">
        <f>G34*(Rev_Firm - E34*Load_kW/1000) - (1-G34)*Idle_kW/1000*E34</f>
        <v/>
      </c>
      <c r="K34" s="36">
        <f>H34*(Rev_Interr - Curt_Price*Load_kW/1000) - (1-H34)*Idle_kW/1000*E34</f>
        <v/>
      </c>
    </row>
    <row r="35">
      <c r="B35" t="inlineStr">
        <is>
          <t>Spring</t>
        </is>
      </c>
      <c r="C35" t="n">
        <v>5</v>
      </c>
      <c r="D35" s="27">
        <f>Solar_Profile!D11</f>
        <v/>
      </c>
      <c r="E35" s="31">
        <f>Price_Curve!D11</f>
        <v/>
      </c>
      <c r="F35" s="28">
        <f>1</f>
        <v/>
      </c>
      <c r="G35" s="28">
        <f>IF(RANK(D35,INDIRECT("D"&amp;(6+INT((ROW()-6)/24)*24)&amp;":D"&amp;(6+INT((ROW()-6)/24)*24+23)),0)&lt;=Hrs_Daytime,1,0)</f>
        <v/>
      </c>
      <c r="H35" s="28">
        <f>IF(RANK(D35,INDIRECT("D"&amp;(6+INT((ROW()-6)/24)*24)&amp;":D"&amp;(6+INT((ROW()-6)/24)*24+23)),0)&lt;=Hrs_Curt,1,0)</f>
        <v/>
      </c>
      <c r="I35" s="36">
        <f>F35*(Rev_Firm - E35*Load_kW/1000) - (1-F35)*Idle_kW/1000*E35</f>
        <v/>
      </c>
      <c r="J35" s="36">
        <f>G35*(Rev_Firm - E35*Load_kW/1000) - (1-G35)*Idle_kW/1000*E35</f>
        <v/>
      </c>
      <c r="K35" s="36">
        <f>H35*(Rev_Interr - Curt_Price*Load_kW/1000) - (1-H35)*Idle_kW/1000*E35</f>
        <v/>
      </c>
    </row>
    <row r="36">
      <c r="B36" t="inlineStr">
        <is>
          <t>Spring</t>
        </is>
      </c>
      <c r="C36" t="n">
        <v>6</v>
      </c>
      <c r="D36" s="27">
        <f>Solar_Profile!D12</f>
        <v/>
      </c>
      <c r="E36" s="31">
        <f>Price_Curve!D12</f>
        <v/>
      </c>
      <c r="F36" s="28">
        <f>1</f>
        <v/>
      </c>
      <c r="G36" s="28">
        <f>IF(RANK(D36,INDIRECT("D"&amp;(6+INT((ROW()-6)/24)*24)&amp;":D"&amp;(6+INT((ROW()-6)/24)*24+23)),0)&lt;=Hrs_Daytime,1,0)</f>
        <v/>
      </c>
      <c r="H36" s="28">
        <f>IF(RANK(D36,INDIRECT("D"&amp;(6+INT((ROW()-6)/24)*24)&amp;":D"&amp;(6+INT((ROW()-6)/24)*24+23)),0)&lt;=Hrs_Curt,1,0)</f>
        <v/>
      </c>
      <c r="I36" s="36">
        <f>F36*(Rev_Firm - E36*Load_kW/1000) - (1-F36)*Idle_kW/1000*E36</f>
        <v/>
      </c>
      <c r="J36" s="36">
        <f>G36*(Rev_Firm - E36*Load_kW/1000) - (1-G36)*Idle_kW/1000*E36</f>
        <v/>
      </c>
      <c r="K36" s="36">
        <f>H36*(Rev_Interr - Curt_Price*Load_kW/1000) - (1-H36)*Idle_kW/1000*E36</f>
        <v/>
      </c>
    </row>
    <row r="37">
      <c r="B37" t="inlineStr">
        <is>
          <t>Spring</t>
        </is>
      </c>
      <c r="C37" t="n">
        <v>7</v>
      </c>
      <c r="D37" s="27">
        <f>Solar_Profile!D13</f>
        <v/>
      </c>
      <c r="E37" s="31">
        <f>Price_Curve!D13</f>
        <v/>
      </c>
      <c r="F37" s="28">
        <f>1</f>
        <v/>
      </c>
      <c r="G37" s="28">
        <f>IF(RANK(D37,INDIRECT("D"&amp;(6+INT((ROW()-6)/24)*24)&amp;":D"&amp;(6+INT((ROW()-6)/24)*24+23)),0)&lt;=Hrs_Daytime,1,0)</f>
        <v/>
      </c>
      <c r="H37" s="28">
        <f>IF(RANK(D37,INDIRECT("D"&amp;(6+INT((ROW()-6)/24)*24)&amp;":D"&amp;(6+INT((ROW()-6)/24)*24+23)),0)&lt;=Hrs_Curt,1,0)</f>
        <v/>
      </c>
      <c r="I37" s="36">
        <f>F37*(Rev_Firm - E37*Load_kW/1000) - (1-F37)*Idle_kW/1000*E37</f>
        <v/>
      </c>
      <c r="J37" s="36">
        <f>G37*(Rev_Firm - E37*Load_kW/1000) - (1-G37)*Idle_kW/1000*E37</f>
        <v/>
      </c>
      <c r="K37" s="36">
        <f>H37*(Rev_Interr - Curt_Price*Load_kW/1000) - (1-H37)*Idle_kW/1000*E37</f>
        <v/>
      </c>
    </row>
    <row r="38">
      <c r="B38" t="inlineStr">
        <is>
          <t>Spring</t>
        </is>
      </c>
      <c r="C38" t="n">
        <v>8</v>
      </c>
      <c r="D38" s="27">
        <f>Solar_Profile!D14</f>
        <v/>
      </c>
      <c r="E38" s="31">
        <f>Price_Curve!D14</f>
        <v/>
      </c>
      <c r="F38" s="28">
        <f>1</f>
        <v/>
      </c>
      <c r="G38" s="28">
        <f>IF(RANK(D38,INDIRECT("D"&amp;(6+INT((ROW()-6)/24)*24)&amp;":D"&amp;(6+INT((ROW()-6)/24)*24+23)),0)&lt;=Hrs_Daytime,1,0)</f>
        <v/>
      </c>
      <c r="H38" s="28">
        <f>IF(RANK(D38,INDIRECT("D"&amp;(6+INT((ROW()-6)/24)*24)&amp;":D"&amp;(6+INT((ROW()-6)/24)*24+23)),0)&lt;=Hrs_Curt,1,0)</f>
        <v/>
      </c>
      <c r="I38" s="36">
        <f>F38*(Rev_Firm - E38*Load_kW/1000) - (1-F38)*Idle_kW/1000*E38</f>
        <v/>
      </c>
      <c r="J38" s="36">
        <f>G38*(Rev_Firm - E38*Load_kW/1000) - (1-G38)*Idle_kW/1000*E38</f>
        <v/>
      </c>
      <c r="K38" s="36">
        <f>H38*(Rev_Interr - Curt_Price*Load_kW/1000) - (1-H38)*Idle_kW/1000*E38</f>
        <v/>
      </c>
    </row>
    <row r="39">
      <c r="B39" t="inlineStr">
        <is>
          <t>Spring</t>
        </is>
      </c>
      <c r="C39" t="n">
        <v>9</v>
      </c>
      <c r="D39" s="27">
        <f>Solar_Profile!D15</f>
        <v/>
      </c>
      <c r="E39" s="31">
        <f>Price_Curve!D15</f>
        <v/>
      </c>
      <c r="F39" s="28">
        <f>1</f>
        <v/>
      </c>
      <c r="G39" s="28">
        <f>IF(RANK(D39,INDIRECT("D"&amp;(6+INT((ROW()-6)/24)*24)&amp;":D"&amp;(6+INT((ROW()-6)/24)*24+23)),0)&lt;=Hrs_Daytime,1,0)</f>
        <v/>
      </c>
      <c r="H39" s="28">
        <f>IF(RANK(D39,INDIRECT("D"&amp;(6+INT((ROW()-6)/24)*24)&amp;":D"&amp;(6+INT((ROW()-6)/24)*24+23)),0)&lt;=Hrs_Curt,1,0)</f>
        <v/>
      </c>
      <c r="I39" s="36">
        <f>F39*(Rev_Firm - E39*Load_kW/1000) - (1-F39)*Idle_kW/1000*E39</f>
        <v/>
      </c>
      <c r="J39" s="36">
        <f>G39*(Rev_Firm - E39*Load_kW/1000) - (1-G39)*Idle_kW/1000*E39</f>
        <v/>
      </c>
      <c r="K39" s="36">
        <f>H39*(Rev_Interr - Curt_Price*Load_kW/1000) - (1-H39)*Idle_kW/1000*E39</f>
        <v/>
      </c>
    </row>
    <row r="40">
      <c r="B40" t="inlineStr">
        <is>
          <t>Spring</t>
        </is>
      </c>
      <c r="C40" t="n">
        <v>10</v>
      </c>
      <c r="D40" s="27">
        <f>Solar_Profile!D16</f>
        <v/>
      </c>
      <c r="E40" s="31">
        <f>Price_Curve!D16</f>
        <v/>
      </c>
      <c r="F40" s="28">
        <f>1</f>
        <v/>
      </c>
      <c r="G40" s="28">
        <f>IF(RANK(D40,INDIRECT("D"&amp;(6+INT((ROW()-6)/24)*24)&amp;":D"&amp;(6+INT((ROW()-6)/24)*24+23)),0)&lt;=Hrs_Daytime,1,0)</f>
        <v/>
      </c>
      <c r="H40" s="28">
        <f>IF(RANK(D40,INDIRECT("D"&amp;(6+INT((ROW()-6)/24)*24)&amp;":D"&amp;(6+INT((ROW()-6)/24)*24+23)),0)&lt;=Hrs_Curt,1,0)</f>
        <v/>
      </c>
      <c r="I40" s="36">
        <f>F40*(Rev_Firm - E40*Load_kW/1000) - (1-F40)*Idle_kW/1000*E40</f>
        <v/>
      </c>
      <c r="J40" s="36">
        <f>G40*(Rev_Firm - E40*Load_kW/1000) - (1-G40)*Idle_kW/1000*E40</f>
        <v/>
      </c>
      <c r="K40" s="36">
        <f>H40*(Rev_Interr - Curt_Price*Load_kW/1000) - (1-H40)*Idle_kW/1000*E40</f>
        <v/>
      </c>
    </row>
    <row r="41">
      <c r="B41" t="inlineStr">
        <is>
          <t>Spring</t>
        </is>
      </c>
      <c r="C41" t="n">
        <v>11</v>
      </c>
      <c r="D41" s="27">
        <f>Solar_Profile!D17</f>
        <v/>
      </c>
      <c r="E41" s="31">
        <f>Price_Curve!D17</f>
        <v/>
      </c>
      <c r="F41" s="28">
        <f>1</f>
        <v/>
      </c>
      <c r="G41" s="28">
        <f>IF(RANK(D41,INDIRECT("D"&amp;(6+INT((ROW()-6)/24)*24)&amp;":D"&amp;(6+INT((ROW()-6)/24)*24+23)),0)&lt;=Hrs_Daytime,1,0)</f>
        <v/>
      </c>
      <c r="H41" s="28">
        <f>IF(RANK(D41,INDIRECT("D"&amp;(6+INT((ROW()-6)/24)*24)&amp;":D"&amp;(6+INT((ROW()-6)/24)*24+23)),0)&lt;=Hrs_Curt,1,0)</f>
        <v/>
      </c>
      <c r="I41" s="36">
        <f>F41*(Rev_Firm - E41*Load_kW/1000) - (1-F41)*Idle_kW/1000*E41</f>
        <v/>
      </c>
      <c r="J41" s="36">
        <f>G41*(Rev_Firm - E41*Load_kW/1000) - (1-G41)*Idle_kW/1000*E41</f>
        <v/>
      </c>
      <c r="K41" s="36">
        <f>H41*(Rev_Interr - Curt_Price*Load_kW/1000) - (1-H41)*Idle_kW/1000*E41</f>
        <v/>
      </c>
    </row>
    <row r="42">
      <c r="B42" t="inlineStr">
        <is>
          <t>Spring</t>
        </is>
      </c>
      <c r="C42" t="n">
        <v>12</v>
      </c>
      <c r="D42" s="27">
        <f>Solar_Profile!D18</f>
        <v/>
      </c>
      <c r="E42" s="31">
        <f>Price_Curve!D18</f>
        <v/>
      </c>
      <c r="F42" s="28">
        <f>1</f>
        <v/>
      </c>
      <c r="G42" s="28">
        <f>IF(RANK(D42,INDIRECT("D"&amp;(6+INT((ROW()-6)/24)*24)&amp;":D"&amp;(6+INT((ROW()-6)/24)*24+23)),0)&lt;=Hrs_Daytime,1,0)</f>
        <v/>
      </c>
      <c r="H42" s="28">
        <f>IF(RANK(D42,INDIRECT("D"&amp;(6+INT((ROW()-6)/24)*24)&amp;":D"&amp;(6+INT((ROW()-6)/24)*24+23)),0)&lt;=Hrs_Curt,1,0)</f>
        <v/>
      </c>
      <c r="I42" s="36">
        <f>F42*(Rev_Firm - E42*Load_kW/1000) - (1-F42)*Idle_kW/1000*E42</f>
        <v/>
      </c>
      <c r="J42" s="36">
        <f>G42*(Rev_Firm - E42*Load_kW/1000) - (1-G42)*Idle_kW/1000*E42</f>
        <v/>
      </c>
      <c r="K42" s="36">
        <f>H42*(Rev_Interr - Curt_Price*Load_kW/1000) - (1-H42)*Idle_kW/1000*E42</f>
        <v/>
      </c>
    </row>
    <row r="43">
      <c r="B43" t="inlineStr">
        <is>
          <t>Spring</t>
        </is>
      </c>
      <c r="C43" t="n">
        <v>13</v>
      </c>
      <c r="D43" s="27">
        <f>Solar_Profile!D19</f>
        <v/>
      </c>
      <c r="E43" s="31">
        <f>Price_Curve!D19</f>
        <v/>
      </c>
      <c r="F43" s="28">
        <f>1</f>
        <v/>
      </c>
      <c r="G43" s="28">
        <f>IF(RANK(D43,INDIRECT("D"&amp;(6+INT((ROW()-6)/24)*24)&amp;":D"&amp;(6+INT((ROW()-6)/24)*24+23)),0)&lt;=Hrs_Daytime,1,0)</f>
        <v/>
      </c>
      <c r="H43" s="28">
        <f>IF(RANK(D43,INDIRECT("D"&amp;(6+INT((ROW()-6)/24)*24)&amp;":D"&amp;(6+INT((ROW()-6)/24)*24+23)),0)&lt;=Hrs_Curt,1,0)</f>
        <v/>
      </c>
      <c r="I43" s="36">
        <f>F43*(Rev_Firm - E43*Load_kW/1000) - (1-F43)*Idle_kW/1000*E43</f>
        <v/>
      </c>
      <c r="J43" s="36">
        <f>G43*(Rev_Firm - E43*Load_kW/1000) - (1-G43)*Idle_kW/1000*E43</f>
        <v/>
      </c>
      <c r="K43" s="36">
        <f>H43*(Rev_Interr - Curt_Price*Load_kW/1000) - (1-H43)*Idle_kW/1000*E43</f>
        <v/>
      </c>
    </row>
    <row r="44">
      <c r="B44" t="inlineStr">
        <is>
          <t>Spring</t>
        </is>
      </c>
      <c r="C44" t="n">
        <v>14</v>
      </c>
      <c r="D44" s="27">
        <f>Solar_Profile!D20</f>
        <v/>
      </c>
      <c r="E44" s="31">
        <f>Price_Curve!D20</f>
        <v/>
      </c>
      <c r="F44" s="28">
        <f>1</f>
        <v/>
      </c>
      <c r="G44" s="28">
        <f>IF(RANK(D44,INDIRECT("D"&amp;(6+INT((ROW()-6)/24)*24)&amp;":D"&amp;(6+INT((ROW()-6)/24)*24+23)),0)&lt;=Hrs_Daytime,1,0)</f>
        <v/>
      </c>
      <c r="H44" s="28">
        <f>IF(RANK(D44,INDIRECT("D"&amp;(6+INT((ROW()-6)/24)*24)&amp;":D"&amp;(6+INT((ROW()-6)/24)*24+23)),0)&lt;=Hrs_Curt,1,0)</f>
        <v/>
      </c>
      <c r="I44" s="36">
        <f>F44*(Rev_Firm - E44*Load_kW/1000) - (1-F44)*Idle_kW/1000*E44</f>
        <v/>
      </c>
      <c r="J44" s="36">
        <f>G44*(Rev_Firm - E44*Load_kW/1000) - (1-G44)*Idle_kW/1000*E44</f>
        <v/>
      </c>
      <c r="K44" s="36">
        <f>H44*(Rev_Interr - Curt_Price*Load_kW/1000) - (1-H44)*Idle_kW/1000*E44</f>
        <v/>
      </c>
    </row>
    <row r="45">
      <c r="B45" t="inlineStr">
        <is>
          <t>Spring</t>
        </is>
      </c>
      <c r="C45" t="n">
        <v>15</v>
      </c>
      <c r="D45" s="27">
        <f>Solar_Profile!D21</f>
        <v/>
      </c>
      <c r="E45" s="31">
        <f>Price_Curve!D21</f>
        <v/>
      </c>
      <c r="F45" s="28">
        <f>1</f>
        <v/>
      </c>
      <c r="G45" s="28">
        <f>IF(RANK(D45,INDIRECT("D"&amp;(6+INT((ROW()-6)/24)*24)&amp;":D"&amp;(6+INT((ROW()-6)/24)*24+23)),0)&lt;=Hrs_Daytime,1,0)</f>
        <v/>
      </c>
      <c r="H45" s="28">
        <f>IF(RANK(D45,INDIRECT("D"&amp;(6+INT((ROW()-6)/24)*24)&amp;":D"&amp;(6+INT((ROW()-6)/24)*24+23)),0)&lt;=Hrs_Curt,1,0)</f>
        <v/>
      </c>
      <c r="I45" s="36">
        <f>F45*(Rev_Firm - E45*Load_kW/1000) - (1-F45)*Idle_kW/1000*E45</f>
        <v/>
      </c>
      <c r="J45" s="36">
        <f>G45*(Rev_Firm - E45*Load_kW/1000) - (1-G45)*Idle_kW/1000*E45</f>
        <v/>
      </c>
      <c r="K45" s="36">
        <f>H45*(Rev_Interr - Curt_Price*Load_kW/1000) - (1-H45)*Idle_kW/1000*E45</f>
        <v/>
      </c>
    </row>
    <row r="46">
      <c r="B46" t="inlineStr">
        <is>
          <t>Spring</t>
        </is>
      </c>
      <c r="C46" t="n">
        <v>16</v>
      </c>
      <c r="D46" s="27">
        <f>Solar_Profile!D22</f>
        <v/>
      </c>
      <c r="E46" s="31">
        <f>Price_Curve!D22</f>
        <v/>
      </c>
      <c r="F46" s="28">
        <f>1</f>
        <v/>
      </c>
      <c r="G46" s="28">
        <f>IF(RANK(D46,INDIRECT("D"&amp;(6+INT((ROW()-6)/24)*24)&amp;":D"&amp;(6+INT((ROW()-6)/24)*24+23)),0)&lt;=Hrs_Daytime,1,0)</f>
        <v/>
      </c>
      <c r="H46" s="28">
        <f>IF(RANK(D46,INDIRECT("D"&amp;(6+INT((ROW()-6)/24)*24)&amp;":D"&amp;(6+INT((ROW()-6)/24)*24+23)),0)&lt;=Hrs_Curt,1,0)</f>
        <v/>
      </c>
      <c r="I46" s="36">
        <f>F46*(Rev_Firm - E46*Load_kW/1000) - (1-F46)*Idle_kW/1000*E46</f>
        <v/>
      </c>
      <c r="J46" s="36">
        <f>G46*(Rev_Firm - E46*Load_kW/1000) - (1-G46)*Idle_kW/1000*E46</f>
        <v/>
      </c>
      <c r="K46" s="36">
        <f>H46*(Rev_Interr - Curt_Price*Load_kW/1000) - (1-H46)*Idle_kW/1000*E46</f>
        <v/>
      </c>
    </row>
    <row r="47">
      <c r="B47" t="inlineStr">
        <is>
          <t>Spring</t>
        </is>
      </c>
      <c r="C47" t="n">
        <v>17</v>
      </c>
      <c r="D47" s="27">
        <f>Solar_Profile!D23</f>
        <v/>
      </c>
      <c r="E47" s="31">
        <f>Price_Curve!D23</f>
        <v/>
      </c>
      <c r="F47" s="28">
        <f>1</f>
        <v/>
      </c>
      <c r="G47" s="28">
        <f>IF(RANK(D47,INDIRECT("D"&amp;(6+INT((ROW()-6)/24)*24)&amp;":D"&amp;(6+INT((ROW()-6)/24)*24+23)),0)&lt;=Hrs_Daytime,1,0)</f>
        <v/>
      </c>
      <c r="H47" s="28">
        <f>IF(RANK(D47,INDIRECT("D"&amp;(6+INT((ROW()-6)/24)*24)&amp;":D"&amp;(6+INT((ROW()-6)/24)*24+23)),0)&lt;=Hrs_Curt,1,0)</f>
        <v/>
      </c>
      <c r="I47" s="36">
        <f>F47*(Rev_Firm - E47*Load_kW/1000) - (1-F47)*Idle_kW/1000*E47</f>
        <v/>
      </c>
      <c r="J47" s="36">
        <f>G47*(Rev_Firm - E47*Load_kW/1000) - (1-G47)*Idle_kW/1000*E47</f>
        <v/>
      </c>
      <c r="K47" s="36">
        <f>H47*(Rev_Interr - Curt_Price*Load_kW/1000) - (1-H47)*Idle_kW/1000*E47</f>
        <v/>
      </c>
    </row>
    <row r="48">
      <c r="B48" t="inlineStr">
        <is>
          <t>Spring</t>
        </is>
      </c>
      <c r="C48" t="n">
        <v>18</v>
      </c>
      <c r="D48" s="27">
        <f>Solar_Profile!D24</f>
        <v/>
      </c>
      <c r="E48" s="31">
        <f>Price_Curve!D24</f>
        <v/>
      </c>
      <c r="F48" s="28">
        <f>1</f>
        <v/>
      </c>
      <c r="G48" s="28">
        <f>IF(RANK(D48,INDIRECT("D"&amp;(6+INT((ROW()-6)/24)*24)&amp;":D"&amp;(6+INT((ROW()-6)/24)*24+23)),0)&lt;=Hrs_Daytime,1,0)</f>
        <v/>
      </c>
      <c r="H48" s="28">
        <f>IF(RANK(D48,INDIRECT("D"&amp;(6+INT((ROW()-6)/24)*24)&amp;":D"&amp;(6+INT((ROW()-6)/24)*24+23)),0)&lt;=Hrs_Curt,1,0)</f>
        <v/>
      </c>
      <c r="I48" s="36">
        <f>F48*(Rev_Firm - E48*Load_kW/1000) - (1-F48)*Idle_kW/1000*E48</f>
        <v/>
      </c>
      <c r="J48" s="36">
        <f>G48*(Rev_Firm - E48*Load_kW/1000) - (1-G48)*Idle_kW/1000*E48</f>
        <v/>
      </c>
      <c r="K48" s="36">
        <f>H48*(Rev_Interr - Curt_Price*Load_kW/1000) - (1-H48)*Idle_kW/1000*E48</f>
        <v/>
      </c>
    </row>
    <row r="49">
      <c r="B49" t="inlineStr">
        <is>
          <t>Spring</t>
        </is>
      </c>
      <c r="C49" t="n">
        <v>19</v>
      </c>
      <c r="D49" s="27">
        <f>Solar_Profile!D25</f>
        <v/>
      </c>
      <c r="E49" s="31">
        <f>Price_Curve!D25</f>
        <v/>
      </c>
      <c r="F49" s="28">
        <f>1</f>
        <v/>
      </c>
      <c r="G49" s="28">
        <f>IF(RANK(D49,INDIRECT("D"&amp;(6+INT((ROW()-6)/24)*24)&amp;":D"&amp;(6+INT((ROW()-6)/24)*24+23)),0)&lt;=Hrs_Daytime,1,0)</f>
        <v/>
      </c>
      <c r="H49" s="28">
        <f>IF(RANK(D49,INDIRECT("D"&amp;(6+INT((ROW()-6)/24)*24)&amp;":D"&amp;(6+INT((ROW()-6)/24)*24+23)),0)&lt;=Hrs_Curt,1,0)</f>
        <v/>
      </c>
      <c r="I49" s="36">
        <f>F49*(Rev_Firm - E49*Load_kW/1000) - (1-F49)*Idle_kW/1000*E49</f>
        <v/>
      </c>
      <c r="J49" s="36">
        <f>G49*(Rev_Firm - E49*Load_kW/1000) - (1-G49)*Idle_kW/1000*E49</f>
        <v/>
      </c>
      <c r="K49" s="36">
        <f>H49*(Rev_Interr - Curt_Price*Load_kW/1000) - (1-H49)*Idle_kW/1000*E49</f>
        <v/>
      </c>
    </row>
    <row r="50">
      <c r="B50" t="inlineStr">
        <is>
          <t>Spring</t>
        </is>
      </c>
      <c r="C50" t="n">
        <v>20</v>
      </c>
      <c r="D50" s="27">
        <f>Solar_Profile!D26</f>
        <v/>
      </c>
      <c r="E50" s="31">
        <f>Price_Curve!D26</f>
        <v/>
      </c>
      <c r="F50" s="28">
        <f>1</f>
        <v/>
      </c>
      <c r="G50" s="28">
        <f>IF(RANK(D50,INDIRECT("D"&amp;(6+INT((ROW()-6)/24)*24)&amp;":D"&amp;(6+INT((ROW()-6)/24)*24+23)),0)&lt;=Hrs_Daytime,1,0)</f>
        <v/>
      </c>
      <c r="H50" s="28">
        <f>IF(RANK(D50,INDIRECT("D"&amp;(6+INT((ROW()-6)/24)*24)&amp;":D"&amp;(6+INT((ROW()-6)/24)*24+23)),0)&lt;=Hrs_Curt,1,0)</f>
        <v/>
      </c>
      <c r="I50" s="36">
        <f>F50*(Rev_Firm - E50*Load_kW/1000) - (1-F50)*Idle_kW/1000*E50</f>
        <v/>
      </c>
      <c r="J50" s="36">
        <f>G50*(Rev_Firm - E50*Load_kW/1000) - (1-G50)*Idle_kW/1000*E50</f>
        <v/>
      </c>
      <c r="K50" s="36">
        <f>H50*(Rev_Interr - Curt_Price*Load_kW/1000) - (1-H50)*Idle_kW/1000*E50</f>
        <v/>
      </c>
    </row>
    <row r="51">
      <c r="B51" t="inlineStr">
        <is>
          <t>Spring</t>
        </is>
      </c>
      <c r="C51" t="n">
        <v>21</v>
      </c>
      <c r="D51" s="27">
        <f>Solar_Profile!D27</f>
        <v/>
      </c>
      <c r="E51" s="31">
        <f>Price_Curve!D27</f>
        <v/>
      </c>
      <c r="F51" s="28">
        <f>1</f>
        <v/>
      </c>
      <c r="G51" s="28">
        <f>IF(RANK(D51,INDIRECT("D"&amp;(6+INT((ROW()-6)/24)*24)&amp;":D"&amp;(6+INT((ROW()-6)/24)*24+23)),0)&lt;=Hrs_Daytime,1,0)</f>
        <v/>
      </c>
      <c r="H51" s="28">
        <f>IF(RANK(D51,INDIRECT("D"&amp;(6+INT((ROW()-6)/24)*24)&amp;":D"&amp;(6+INT((ROW()-6)/24)*24+23)),0)&lt;=Hrs_Curt,1,0)</f>
        <v/>
      </c>
      <c r="I51" s="36">
        <f>F51*(Rev_Firm - E51*Load_kW/1000) - (1-F51)*Idle_kW/1000*E51</f>
        <v/>
      </c>
      <c r="J51" s="36">
        <f>G51*(Rev_Firm - E51*Load_kW/1000) - (1-G51)*Idle_kW/1000*E51</f>
        <v/>
      </c>
      <c r="K51" s="36">
        <f>H51*(Rev_Interr - Curt_Price*Load_kW/1000) - (1-H51)*Idle_kW/1000*E51</f>
        <v/>
      </c>
    </row>
    <row r="52">
      <c r="B52" t="inlineStr">
        <is>
          <t>Spring</t>
        </is>
      </c>
      <c r="C52" t="n">
        <v>22</v>
      </c>
      <c r="D52" s="27">
        <f>Solar_Profile!D28</f>
        <v/>
      </c>
      <c r="E52" s="31">
        <f>Price_Curve!D28</f>
        <v/>
      </c>
      <c r="F52" s="28">
        <f>1</f>
        <v/>
      </c>
      <c r="G52" s="28">
        <f>IF(RANK(D52,INDIRECT("D"&amp;(6+INT((ROW()-6)/24)*24)&amp;":D"&amp;(6+INT((ROW()-6)/24)*24+23)),0)&lt;=Hrs_Daytime,1,0)</f>
        <v/>
      </c>
      <c r="H52" s="28">
        <f>IF(RANK(D52,INDIRECT("D"&amp;(6+INT((ROW()-6)/24)*24)&amp;":D"&amp;(6+INT((ROW()-6)/24)*24+23)),0)&lt;=Hrs_Curt,1,0)</f>
        <v/>
      </c>
      <c r="I52" s="36">
        <f>F52*(Rev_Firm - E52*Load_kW/1000) - (1-F52)*Idle_kW/1000*E52</f>
        <v/>
      </c>
      <c r="J52" s="36">
        <f>G52*(Rev_Firm - E52*Load_kW/1000) - (1-G52)*Idle_kW/1000*E52</f>
        <v/>
      </c>
      <c r="K52" s="36">
        <f>H52*(Rev_Interr - Curt_Price*Load_kW/1000) - (1-H52)*Idle_kW/1000*E52</f>
        <v/>
      </c>
    </row>
    <row r="53">
      <c r="B53" t="inlineStr">
        <is>
          <t>Spring</t>
        </is>
      </c>
      <c r="C53" t="n">
        <v>23</v>
      </c>
      <c r="D53" s="27">
        <f>Solar_Profile!D29</f>
        <v/>
      </c>
      <c r="E53" s="31">
        <f>Price_Curve!D29</f>
        <v/>
      </c>
      <c r="F53" s="28">
        <f>1</f>
        <v/>
      </c>
      <c r="G53" s="28">
        <f>IF(RANK(D53,INDIRECT("D"&amp;(6+INT((ROW()-6)/24)*24)&amp;":D"&amp;(6+INT((ROW()-6)/24)*24+23)),0)&lt;=Hrs_Daytime,1,0)</f>
        <v/>
      </c>
      <c r="H53" s="28">
        <f>IF(RANK(D53,INDIRECT("D"&amp;(6+INT((ROW()-6)/24)*24)&amp;":D"&amp;(6+INT((ROW()-6)/24)*24+23)),0)&lt;=Hrs_Curt,1,0)</f>
        <v/>
      </c>
      <c r="I53" s="36">
        <f>F53*(Rev_Firm - E53*Load_kW/1000) - (1-F53)*Idle_kW/1000*E53</f>
        <v/>
      </c>
      <c r="J53" s="36">
        <f>G53*(Rev_Firm - E53*Load_kW/1000) - (1-G53)*Idle_kW/1000*E53</f>
        <v/>
      </c>
      <c r="K53" s="36">
        <f>H53*(Rev_Interr - Curt_Price*Load_kW/1000) - (1-H53)*Idle_kW/1000*E53</f>
        <v/>
      </c>
    </row>
    <row r="54">
      <c r="B54" t="inlineStr">
        <is>
          <t>Summer</t>
        </is>
      </c>
      <c r="C54" t="n">
        <v>0</v>
      </c>
      <c r="D54" s="27">
        <f>Solar_Profile!E6</f>
        <v/>
      </c>
      <c r="E54" s="31">
        <f>Price_Curve!E6</f>
        <v/>
      </c>
      <c r="F54" s="28">
        <f>1</f>
        <v/>
      </c>
      <c r="G54" s="28">
        <f>IF(RANK(D54,INDIRECT("D"&amp;(6+INT((ROW()-6)/24)*24)&amp;":D"&amp;(6+INT((ROW()-6)/24)*24+23)),0)&lt;=Hrs_Daytime,1,0)</f>
        <v/>
      </c>
      <c r="H54" s="28">
        <f>IF(RANK(D54,INDIRECT("D"&amp;(6+INT((ROW()-6)/24)*24)&amp;":D"&amp;(6+INT((ROW()-6)/24)*24+23)),0)&lt;=Hrs_Curt,1,0)</f>
        <v/>
      </c>
      <c r="I54" s="36">
        <f>F54*(Rev_Firm - E54*Load_kW/1000) - (1-F54)*Idle_kW/1000*E54</f>
        <v/>
      </c>
      <c r="J54" s="36">
        <f>G54*(Rev_Firm - E54*Load_kW/1000) - (1-G54)*Idle_kW/1000*E54</f>
        <v/>
      </c>
      <c r="K54" s="36">
        <f>H54*(Rev_Interr - Curt_Price*Load_kW/1000) - (1-H54)*Idle_kW/1000*E54</f>
        <v/>
      </c>
    </row>
    <row r="55">
      <c r="B55" t="inlineStr">
        <is>
          <t>Summer</t>
        </is>
      </c>
      <c r="C55" t="n">
        <v>1</v>
      </c>
      <c r="D55" s="27">
        <f>Solar_Profile!E7</f>
        <v/>
      </c>
      <c r="E55" s="31">
        <f>Price_Curve!E7</f>
        <v/>
      </c>
      <c r="F55" s="28">
        <f>1</f>
        <v/>
      </c>
      <c r="G55" s="28">
        <f>IF(RANK(D55,INDIRECT("D"&amp;(6+INT((ROW()-6)/24)*24)&amp;":D"&amp;(6+INT((ROW()-6)/24)*24+23)),0)&lt;=Hrs_Daytime,1,0)</f>
        <v/>
      </c>
      <c r="H55" s="28">
        <f>IF(RANK(D55,INDIRECT("D"&amp;(6+INT((ROW()-6)/24)*24)&amp;":D"&amp;(6+INT((ROW()-6)/24)*24+23)),0)&lt;=Hrs_Curt,1,0)</f>
        <v/>
      </c>
      <c r="I55" s="36">
        <f>F55*(Rev_Firm - E55*Load_kW/1000) - (1-F55)*Idle_kW/1000*E55</f>
        <v/>
      </c>
      <c r="J55" s="36">
        <f>G55*(Rev_Firm - E55*Load_kW/1000) - (1-G55)*Idle_kW/1000*E55</f>
        <v/>
      </c>
      <c r="K55" s="36">
        <f>H55*(Rev_Interr - Curt_Price*Load_kW/1000) - (1-H55)*Idle_kW/1000*E55</f>
        <v/>
      </c>
    </row>
    <row r="56">
      <c r="B56" t="inlineStr">
        <is>
          <t>Summer</t>
        </is>
      </c>
      <c r="C56" t="n">
        <v>2</v>
      </c>
      <c r="D56" s="27">
        <f>Solar_Profile!E8</f>
        <v/>
      </c>
      <c r="E56" s="31">
        <f>Price_Curve!E8</f>
        <v/>
      </c>
      <c r="F56" s="28">
        <f>1</f>
        <v/>
      </c>
      <c r="G56" s="28">
        <f>IF(RANK(D56,INDIRECT("D"&amp;(6+INT((ROW()-6)/24)*24)&amp;":D"&amp;(6+INT((ROW()-6)/24)*24+23)),0)&lt;=Hrs_Daytime,1,0)</f>
        <v/>
      </c>
      <c r="H56" s="28">
        <f>IF(RANK(D56,INDIRECT("D"&amp;(6+INT((ROW()-6)/24)*24)&amp;":D"&amp;(6+INT((ROW()-6)/24)*24+23)),0)&lt;=Hrs_Curt,1,0)</f>
        <v/>
      </c>
      <c r="I56" s="36">
        <f>F56*(Rev_Firm - E56*Load_kW/1000) - (1-F56)*Idle_kW/1000*E56</f>
        <v/>
      </c>
      <c r="J56" s="36">
        <f>G56*(Rev_Firm - E56*Load_kW/1000) - (1-G56)*Idle_kW/1000*E56</f>
        <v/>
      </c>
      <c r="K56" s="36">
        <f>H56*(Rev_Interr - Curt_Price*Load_kW/1000) - (1-H56)*Idle_kW/1000*E56</f>
        <v/>
      </c>
    </row>
    <row r="57">
      <c r="B57" t="inlineStr">
        <is>
          <t>Summer</t>
        </is>
      </c>
      <c r="C57" t="n">
        <v>3</v>
      </c>
      <c r="D57" s="27">
        <f>Solar_Profile!E9</f>
        <v/>
      </c>
      <c r="E57" s="31">
        <f>Price_Curve!E9</f>
        <v/>
      </c>
      <c r="F57" s="28">
        <f>1</f>
        <v/>
      </c>
      <c r="G57" s="28">
        <f>IF(RANK(D57,INDIRECT("D"&amp;(6+INT((ROW()-6)/24)*24)&amp;":D"&amp;(6+INT((ROW()-6)/24)*24+23)),0)&lt;=Hrs_Daytime,1,0)</f>
        <v/>
      </c>
      <c r="H57" s="28">
        <f>IF(RANK(D57,INDIRECT("D"&amp;(6+INT((ROW()-6)/24)*24)&amp;":D"&amp;(6+INT((ROW()-6)/24)*24+23)),0)&lt;=Hrs_Curt,1,0)</f>
        <v/>
      </c>
      <c r="I57" s="36">
        <f>F57*(Rev_Firm - E57*Load_kW/1000) - (1-F57)*Idle_kW/1000*E57</f>
        <v/>
      </c>
      <c r="J57" s="36">
        <f>G57*(Rev_Firm - E57*Load_kW/1000) - (1-G57)*Idle_kW/1000*E57</f>
        <v/>
      </c>
      <c r="K57" s="36">
        <f>H57*(Rev_Interr - Curt_Price*Load_kW/1000) - (1-H57)*Idle_kW/1000*E57</f>
        <v/>
      </c>
    </row>
    <row r="58">
      <c r="B58" t="inlineStr">
        <is>
          <t>Summer</t>
        </is>
      </c>
      <c r="C58" t="n">
        <v>4</v>
      </c>
      <c r="D58" s="27">
        <f>Solar_Profile!E10</f>
        <v/>
      </c>
      <c r="E58" s="31">
        <f>Price_Curve!E10</f>
        <v/>
      </c>
      <c r="F58" s="28">
        <f>1</f>
        <v/>
      </c>
      <c r="G58" s="28">
        <f>IF(RANK(D58,INDIRECT("D"&amp;(6+INT((ROW()-6)/24)*24)&amp;":D"&amp;(6+INT((ROW()-6)/24)*24+23)),0)&lt;=Hrs_Daytime,1,0)</f>
        <v/>
      </c>
      <c r="H58" s="28">
        <f>IF(RANK(D58,INDIRECT("D"&amp;(6+INT((ROW()-6)/24)*24)&amp;":D"&amp;(6+INT((ROW()-6)/24)*24+23)),0)&lt;=Hrs_Curt,1,0)</f>
        <v/>
      </c>
      <c r="I58" s="36">
        <f>F58*(Rev_Firm - E58*Load_kW/1000) - (1-F58)*Idle_kW/1000*E58</f>
        <v/>
      </c>
      <c r="J58" s="36">
        <f>G58*(Rev_Firm - E58*Load_kW/1000) - (1-G58)*Idle_kW/1000*E58</f>
        <v/>
      </c>
      <c r="K58" s="36">
        <f>H58*(Rev_Interr - Curt_Price*Load_kW/1000) - (1-H58)*Idle_kW/1000*E58</f>
        <v/>
      </c>
    </row>
    <row r="59">
      <c r="B59" t="inlineStr">
        <is>
          <t>Summer</t>
        </is>
      </c>
      <c r="C59" t="n">
        <v>5</v>
      </c>
      <c r="D59" s="27">
        <f>Solar_Profile!E11</f>
        <v/>
      </c>
      <c r="E59" s="31">
        <f>Price_Curve!E11</f>
        <v/>
      </c>
      <c r="F59" s="28">
        <f>1</f>
        <v/>
      </c>
      <c r="G59" s="28">
        <f>IF(RANK(D59,INDIRECT("D"&amp;(6+INT((ROW()-6)/24)*24)&amp;":D"&amp;(6+INT((ROW()-6)/24)*24+23)),0)&lt;=Hrs_Daytime,1,0)</f>
        <v/>
      </c>
      <c r="H59" s="28">
        <f>IF(RANK(D59,INDIRECT("D"&amp;(6+INT((ROW()-6)/24)*24)&amp;":D"&amp;(6+INT((ROW()-6)/24)*24+23)),0)&lt;=Hrs_Curt,1,0)</f>
        <v/>
      </c>
      <c r="I59" s="36">
        <f>F59*(Rev_Firm - E59*Load_kW/1000) - (1-F59)*Idle_kW/1000*E59</f>
        <v/>
      </c>
      <c r="J59" s="36">
        <f>G59*(Rev_Firm - E59*Load_kW/1000) - (1-G59)*Idle_kW/1000*E59</f>
        <v/>
      </c>
      <c r="K59" s="36">
        <f>H59*(Rev_Interr - Curt_Price*Load_kW/1000) - (1-H59)*Idle_kW/1000*E59</f>
        <v/>
      </c>
    </row>
    <row r="60">
      <c r="B60" t="inlineStr">
        <is>
          <t>Summer</t>
        </is>
      </c>
      <c r="C60" t="n">
        <v>6</v>
      </c>
      <c r="D60" s="27">
        <f>Solar_Profile!E12</f>
        <v/>
      </c>
      <c r="E60" s="31">
        <f>Price_Curve!E12</f>
        <v/>
      </c>
      <c r="F60" s="28">
        <f>1</f>
        <v/>
      </c>
      <c r="G60" s="28">
        <f>IF(RANK(D60,INDIRECT("D"&amp;(6+INT((ROW()-6)/24)*24)&amp;":D"&amp;(6+INT((ROW()-6)/24)*24+23)),0)&lt;=Hrs_Daytime,1,0)</f>
        <v/>
      </c>
      <c r="H60" s="28">
        <f>IF(RANK(D60,INDIRECT("D"&amp;(6+INT((ROW()-6)/24)*24)&amp;":D"&amp;(6+INT((ROW()-6)/24)*24+23)),0)&lt;=Hrs_Curt,1,0)</f>
        <v/>
      </c>
      <c r="I60" s="36">
        <f>F60*(Rev_Firm - E60*Load_kW/1000) - (1-F60)*Idle_kW/1000*E60</f>
        <v/>
      </c>
      <c r="J60" s="36">
        <f>G60*(Rev_Firm - E60*Load_kW/1000) - (1-G60)*Idle_kW/1000*E60</f>
        <v/>
      </c>
      <c r="K60" s="36">
        <f>H60*(Rev_Interr - Curt_Price*Load_kW/1000) - (1-H60)*Idle_kW/1000*E60</f>
        <v/>
      </c>
    </row>
    <row r="61">
      <c r="B61" t="inlineStr">
        <is>
          <t>Summer</t>
        </is>
      </c>
      <c r="C61" t="n">
        <v>7</v>
      </c>
      <c r="D61" s="27">
        <f>Solar_Profile!E13</f>
        <v/>
      </c>
      <c r="E61" s="31">
        <f>Price_Curve!E13</f>
        <v/>
      </c>
      <c r="F61" s="28">
        <f>1</f>
        <v/>
      </c>
      <c r="G61" s="28">
        <f>IF(RANK(D61,INDIRECT("D"&amp;(6+INT((ROW()-6)/24)*24)&amp;":D"&amp;(6+INT((ROW()-6)/24)*24+23)),0)&lt;=Hrs_Daytime,1,0)</f>
        <v/>
      </c>
      <c r="H61" s="28">
        <f>IF(RANK(D61,INDIRECT("D"&amp;(6+INT((ROW()-6)/24)*24)&amp;":D"&amp;(6+INT((ROW()-6)/24)*24+23)),0)&lt;=Hrs_Curt,1,0)</f>
        <v/>
      </c>
      <c r="I61" s="36">
        <f>F61*(Rev_Firm - E61*Load_kW/1000) - (1-F61)*Idle_kW/1000*E61</f>
        <v/>
      </c>
      <c r="J61" s="36">
        <f>G61*(Rev_Firm - E61*Load_kW/1000) - (1-G61)*Idle_kW/1000*E61</f>
        <v/>
      </c>
      <c r="K61" s="36">
        <f>H61*(Rev_Interr - Curt_Price*Load_kW/1000) - (1-H61)*Idle_kW/1000*E61</f>
        <v/>
      </c>
    </row>
    <row r="62">
      <c r="B62" t="inlineStr">
        <is>
          <t>Summer</t>
        </is>
      </c>
      <c r="C62" t="n">
        <v>8</v>
      </c>
      <c r="D62" s="27">
        <f>Solar_Profile!E14</f>
        <v/>
      </c>
      <c r="E62" s="31">
        <f>Price_Curve!E14</f>
        <v/>
      </c>
      <c r="F62" s="28">
        <f>1</f>
        <v/>
      </c>
      <c r="G62" s="28">
        <f>IF(RANK(D62,INDIRECT("D"&amp;(6+INT((ROW()-6)/24)*24)&amp;":D"&amp;(6+INT((ROW()-6)/24)*24+23)),0)&lt;=Hrs_Daytime,1,0)</f>
        <v/>
      </c>
      <c r="H62" s="28">
        <f>IF(RANK(D62,INDIRECT("D"&amp;(6+INT((ROW()-6)/24)*24)&amp;":D"&amp;(6+INT((ROW()-6)/24)*24+23)),0)&lt;=Hrs_Curt,1,0)</f>
        <v/>
      </c>
      <c r="I62" s="36">
        <f>F62*(Rev_Firm - E62*Load_kW/1000) - (1-F62)*Idle_kW/1000*E62</f>
        <v/>
      </c>
      <c r="J62" s="36">
        <f>G62*(Rev_Firm - E62*Load_kW/1000) - (1-G62)*Idle_kW/1000*E62</f>
        <v/>
      </c>
      <c r="K62" s="36">
        <f>H62*(Rev_Interr - Curt_Price*Load_kW/1000) - (1-H62)*Idle_kW/1000*E62</f>
        <v/>
      </c>
    </row>
    <row r="63">
      <c r="B63" t="inlineStr">
        <is>
          <t>Summer</t>
        </is>
      </c>
      <c r="C63" t="n">
        <v>9</v>
      </c>
      <c r="D63" s="27">
        <f>Solar_Profile!E15</f>
        <v/>
      </c>
      <c r="E63" s="31">
        <f>Price_Curve!E15</f>
        <v/>
      </c>
      <c r="F63" s="28">
        <f>1</f>
        <v/>
      </c>
      <c r="G63" s="28">
        <f>IF(RANK(D63,INDIRECT("D"&amp;(6+INT((ROW()-6)/24)*24)&amp;":D"&amp;(6+INT((ROW()-6)/24)*24+23)),0)&lt;=Hrs_Daytime,1,0)</f>
        <v/>
      </c>
      <c r="H63" s="28">
        <f>IF(RANK(D63,INDIRECT("D"&amp;(6+INT((ROW()-6)/24)*24)&amp;":D"&amp;(6+INT((ROW()-6)/24)*24+23)),0)&lt;=Hrs_Curt,1,0)</f>
        <v/>
      </c>
      <c r="I63" s="36">
        <f>F63*(Rev_Firm - E63*Load_kW/1000) - (1-F63)*Idle_kW/1000*E63</f>
        <v/>
      </c>
      <c r="J63" s="36">
        <f>G63*(Rev_Firm - E63*Load_kW/1000) - (1-G63)*Idle_kW/1000*E63</f>
        <v/>
      </c>
      <c r="K63" s="36">
        <f>H63*(Rev_Interr - Curt_Price*Load_kW/1000) - (1-H63)*Idle_kW/1000*E63</f>
        <v/>
      </c>
    </row>
    <row r="64">
      <c r="B64" t="inlineStr">
        <is>
          <t>Summer</t>
        </is>
      </c>
      <c r="C64" t="n">
        <v>10</v>
      </c>
      <c r="D64" s="27">
        <f>Solar_Profile!E16</f>
        <v/>
      </c>
      <c r="E64" s="31">
        <f>Price_Curve!E16</f>
        <v/>
      </c>
      <c r="F64" s="28">
        <f>1</f>
        <v/>
      </c>
      <c r="G64" s="28">
        <f>IF(RANK(D64,INDIRECT("D"&amp;(6+INT((ROW()-6)/24)*24)&amp;":D"&amp;(6+INT((ROW()-6)/24)*24+23)),0)&lt;=Hrs_Daytime,1,0)</f>
        <v/>
      </c>
      <c r="H64" s="28">
        <f>IF(RANK(D64,INDIRECT("D"&amp;(6+INT((ROW()-6)/24)*24)&amp;":D"&amp;(6+INT((ROW()-6)/24)*24+23)),0)&lt;=Hrs_Curt,1,0)</f>
        <v/>
      </c>
      <c r="I64" s="36">
        <f>F64*(Rev_Firm - E64*Load_kW/1000) - (1-F64)*Idle_kW/1000*E64</f>
        <v/>
      </c>
      <c r="J64" s="36">
        <f>G64*(Rev_Firm - E64*Load_kW/1000) - (1-G64)*Idle_kW/1000*E64</f>
        <v/>
      </c>
      <c r="K64" s="36">
        <f>H64*(Rev_Interr - Curt_Price*Load_kW/1000) - (1-H64)*Idle_kW/1000*E64</f>
        <v/>
      </c>
    </row>
    <row r="65">
      <c r="B65" t="inlineStr">
        <is>
          <t>Summer</t>
        </is>
      </c>
      <c r="C65" t="n">
        <v>11</v>
      </c>
      <c r="D65" s="27">
        <f>Solar_Profile!E17</f>
        <v/>
      </c>
      <c r="E65" s="31">
        <f>Price_Curve!E17</f>
        <v/>
      </c>
      <c r="F65" s="28">
        <f>1</f>
        <v/>
      </c>
      <c r="G65" s="28">
        <f>IF(RANK(D65,INDIRECT("D"&amp;(6+INT((ROW()-6)/24)*24)&amp;":D"&amp;(6+INT((ROW()-6)/24)*24+23)),0)&lt;=Hrs_Daytime,1,0)</f>
        <v/>
      </c>
      <c r="H65" s="28">
        <f>IF(RANK(D65,INDIRECT("D"&amp;(6+INT((ROW()-6)/24)*24)&amp;":D"&amp;(6+INT((ROW()-6)/24)*24+23)),0)&lt;=Hrs_Curt,1,0)</f>
        <v/>
      </c>
      <c r="I65" s="36">
        <f>F65*(Rev_Firm - E65*Load_kW/1000) - (1-F65)*Idle_kW/1000*E65</f>
        <v/>
      </c>
      <c r="J65" s="36">
        <f>G65*(Rev_Firm - E65*Load_kW/1000) - (1-G65)*Idle_kW/1000*E65</f>
        <v/>
      </c>
      <c r="K65" s="36">
        <f>H65*(Rev_Interr - Curt_Price*Load_kW/1000) - (1-H65)*Idle_kW/1000*E65</f>
        <v/>
      </c>
    </row>
    <row r="66">
      <c r="B66" t="inlineStr">
        <is>
          <t>Summer</t>
        </is>
      </c>
      <c r="C66" t="n">
        <v>12</v>
      </c>
      <c r="D66" s="27">
        <f>Solar_Profile!E18</f>
        <v/>
      </c>
      <c r="E66" s="31">
        <f>Price_Curve!E18</f>
        <v/>
      </c>
      <c r="F66" s="28">
        <f>1</f>
        <v/>
      </c>
      <c r="G66" s="28">
        <f>IF(RANK(D66,INDIRECT("D"&amp;(6+INT((ROW()-6)/24)*24)&amp;":D"&amp;(6+INT((ROW()-6)/24)*24+23)),0)&lt;=Hrs_Daytime,1,0)</f>
        <v/>
      </c>
      <c r="H66" s="28">
        <f>IF(RANK(D66,INDIRECT("D"&amp;(6+INT((ROW()-6)/24)*24)&amp;":D"&amp;(6+INT((ROW()-6)/24)*24+23)),0)&lt;=Hrs_Curt,1,0)</f>
        <v/>
      </c>
      <c r="I66" s="36">
        <f>F66*(Rev_Firm - E66*Load_kW/1000) - (1-F66)*Idle_kW/1000*E66</f>
        <v/>
      </c>
      <c r="J66" s="36">
        <f>G66*(Rev_Firm - E66*Load_kW/1000) - (1-G66)*Idle_kW/1000*E66</f>
        <v/>
      </c>
      <c r="K66" s="36">
        <f>H66*(Rev_Interr - Curt_Price*Load_kW/1000) - (1-H66)*Idle_kW/1000*E66</f>
        <v/>
      </c>
    </row>
    <row r="67">
      <c r="B67" t="inlineStr">
        <is>
          <t>Summer</t>
        </is>
      </c>
      <c r="C67" t="n">
        <v>13</v>
      </c>
      <c r="D67" s="27">
        <f>Solar_Profile!E19</f>
        <v/>
      </c>
      <c r="E67" s="31">
        <f>Price_Curve!E19</f>
        <v/>
      </c>
      <c r="F67" s="28">
        <f>1</f>
        <v/>
      </c>
      <c r="G67" s="28">
        <f>IF(RANK(D67,INDIRECT("D"&amp;(6+INT((ROW()-6)/24)*24)&amp;":D"&amp;(6+INT((ROW()-6)/24)*24+23)),0)&lt;=Hrs_Daytime,1,0)</f>
        <v/>
      </c>
      <c r="H67" s="28">
        <f>IF(RANK(D67,INDIRECT("D"&amp;(6+INT((ROW()-6)/24)*24)&amp;":D"&amp;(6+INT((ROW()-6)/24)*24+23)),0)&lt;=Hrs_Curt,1,0)</f>
        <v/>
      </c>
      <c r="I67" s="36">
        <f>F67*(Rev_Firm - E67*Load_kW/1000) - (1-F67)*Idle_kW/1000*E67</f>
        <v/>
      </c>
      <c r="J67" s="36">
        <f>G67*(Rev_Firm - E67*Load_kW/1000) - (1-G67)*Idle_kW/1000*E67</f>
        <v/>
      </c>
      <c r="K67" s="36">
        <f>H67*(Rev_Interr - Curt_Price*Load_kW/1000) - (1-H67)*Idle_kW/1000*E67</f>
        <v/>
      </c>
    </row>
    <row r="68">
      <c r="B68" t="inlineStr">
        <is>
          <t>Summer</t>
        </is>
      </c>
      <c r="C68" t="n">
        <v>14</v>
      </c>
      <c r="D68" s="27">
        <f>Solar_Profile!E20</f>
        <v/>
      </c>
      <c r="E68" s="31">
        <f>Price_Curve!E20</f>
        <v/>
      </c>
      <c r="F68" s="28">
        <f>1</f>
        <v/>
      </c>
      <c r="G68" s="28">
        <f>IF(RANK(D68,INDIRECT("D"&amp;(6+INT((ROW()-6)/24)*24)&amp;":D"&amp;(6+INT((ROW()-6)/24)*24+23)),0)&lt;=Hrs_Daytime,1,0)</f>
        <v/>
      </c>
      <c r="H68" s="28">
        <f>IF(RANK(D68,INDIRECT("D"&amp;(6+INT((ROW()-6)/24)*24)&amp;":D"&amp;(6+INT((ROW()-6)/24)*24+23)),0)&lt;=Hrs_Curt,1,0)</f>
        <v/>
      </c>
      <c r="I68" s="36">
        <f>F68*(Rev_Firm - E68*Load_kW/1000) - (1-F68)*Idle_kW/1000*E68</f>
        <v/>
      </c>
      <c r="J68" s="36">
        <f>G68*(Rev_Firm - E68*Load_kW/1000) - (1-G68)*Idle_kW/1000*E68</f>
        <v/>
      </c>
      <c r="K68" s="36">
        <f>H68*(Rev_Interr - Curt_Price*Load_kW/1000) - (1-H68)*Idle_kW/1000*E68</f>
        <v/>
      </c>
    </row>
    <row r="69">
      <c r="B69" t="inlineStr">
        <is>
          <t>Summer</t>
        </is>
      </c>
      <c r="C69" t="n">
        <v>15</v>
      </c>
      <c r="D69" s="27">
        <f>Solar_Profile!E21</f>
        <v/>
      </c>
      <c r="E69" s="31">
        <f>Price_Curve!E21</f>
        <v/>
      </c>
      <c r="F69" s="28">
        <f>1</f>
        <v/>
      </c>
      <c r="G69" s="28">
        <f>IF(RANK(D69,INDIRECT("D"&amp;(6+INT((ROW()-6)/24)*24)&amp;":D"&amp;(6+INT((ROW()-6)/24)*24+23)),0)&lt;=Hrs_Daytime,1,0)</f>
        <v/>
      </c>
      <c r="H69" s="28">
        <f>IF(RANK(D69,INDIRECT("D"&amp;(6+INT((ROW()-6)/24)*24)&amp;":D"&amp;(6+INT((ROW()-6)/24)*24+23)),0)&lt;=Hrs_Curt,1,0)</f>
        <v/>
      </c>
      <c r="I69" s="36">
        <f>F69*(Rev_Firm - E69*Load_kW/1000) - (1-F69)*Idle_kW/1000*E69</f>
        <v/>
      </c>
      <c r="J69" s="36">
        <f>G69*(Rev_Firm - E69*Load_kW/1000) - (1-G69)*Idle_kW/1000*E69</f>
        <v/>
      </c>
      <c r="K69" s="36">
        <f>H69*(Rev_Interr - Curt_Price*Load_kW/1000) - (1-H69)*Idle_kW/1000*E69</f>
        <v/>
      </c>
    </row>
    <row r="70">
      <c r="B70" t="inlineStr">
        <is>
          <t>Summer</t>
        </is>
      </c>
      <c r="C70" t="n">
        <v>16</v>
      </c>
      <c r="D70" s="27">
        <f>Solar_Profile!E22</f>
        <v/>
      </c>
      <c r="E70" s="31">
        <f>Price_Curve!E22</f>
        <v/>
      </c>
      <c r="F70" s="28">
        <f>1</f>
        <v/>
      </c>
      <c r="G70" s="28">
        <f>IF(RANK(D70,INDIRECT("D"&amp;(6+INT((ROW()-6)/24)*24)&amp;":D"&amp;(6+INT((ROW()-6)/24)*24+23)),0)&lt;=Hrs_Daytime,1,0)</f>
        <v/>
      </c>
      <c r="H70" s="28">
        <f>IF(RANK(D70,INDIRECT("D"&amp;(6+INT((ROW()-6)/24)*24)&amp;":D"&amp;(6+INT((ROW()-6)/24)*24+23)),0)&lt;=Hrs_Curt,1,0)</f>
        <v/>
      </c>
      <c r="I70" s="36">
        <f>F70*(Rev_Firm - E70*Load_kW/1000) - (1-F70)*Idle_kW/1000*E70</f>
        <v/>
      </c>
      <c r="J70" s="36">
        <f>G70*(Rev_Firm - E70*Load_kW/1000) - (1-G70)*Idle_kW/1000*E70</f>
        <v/>
      </c>
      <c r="K70" s="36">
        <f>H70*(Rev_Interr - Curt_Price*Load_kW/1000) - (1-H70)*Idle_kW/1000*E70</f>
        <v/>
      </c>
    </row>
    <row r="71">
      <c r="B71" t="inlineStr">
        <is>
          <t>Summer</t>
        </is>
      </c>
      <c r="C71" t="n">
        <v>17</v>
      </c>
      <c r="D71" s="27">
        <f>Solar_Profile!E23</f>
        <v/>
      </c>
      <c r="E71" s="31">
        <f>Price_Curve!E23</f>
        <v/>
      </c>
      <c r="F71" s="28">
        <f>1</f>
        <v/>
      </c>
      <c r="G71" s="28">
        <f>IF(RANK(D71,INDIRECT("D"&amp;(6+INT((ROW()-6)/24)*24)&amp;":D"&amp;(6+INT((ROW()-6)/24)*24+23)),0)&lt;=Hrs_Daytime,1,0)</f>
        <v/>
      </c>
      <c r="H71" s="28">
        <f>IF(RANK(D71,INDIRECT("D"&amp;(6+INT((ROW()-6)/24)*24)&amp;":D"&amp;(6+INT((ROW()-6)/24)*24+23)),0)&lt;=Hrs_Curt,1,0)</f>
        <v/>
      </c>
      <c r="I71" s="36">
        <f>F71*(Rev_Firm - E71*Load_kW/1000) - (1-F71)*Idle_kW/1000*E71</f>
        <v/>
      </c>
      <c r="J71" s="36">
        <f>G71*(Rev_Firm - E71*Load_kW/1000) - (1-G71)*Idle_kW/1000*E71</f>
        <v/>
      </c>
      <c r="K71" s="36">
        <f>H71*(Rev_Interr - Curt_Price*Load_kW/1000) - (1-H71)*Idle_kW/1000*E71</f>
        <v/>
      </c>
    </row>
    <row r="72">
      <c r="B72" t="inlineStr">
        <is>
          <t>Summer</t>
        </is>
      </c>
      <c r="C72" t="n">
        <v>18</v>
      </c>
      <c r="D72" s="27">
        <f>Solar_Profile!E24</f>
        <v/>
      </c>
      <c r="E72" s="31">
        <f>Price_Curve!E24</f>
        <v/>
      </c>
      <c r="F72" s="28">
        <f>1</f>
        <v/>
      </c>
      <c r="G72" s="28">
        <f>IF(RANK(D72,INDIRECT("D"&amp;(6+INT((ROW()-6)/24)*24)&amp;":D"&amp;(6+INT((ROW()-6)/24)*24+23)),0)&lt;=Hrs_Daytime,1,0)</f>
        <v/>
      </c>
      <c r="H72" s="28">
        <f>IF(RANK(D72,INDIRECT("D"&amp;(6+INT((ROW()-6)/24)*24)&amp;":D"&amp;(6+INT((ROW()-6)/24)*24+23)),0)&lt;=Hrs_Curt,1,0)</f>
        <v/>
      </c>
      <c r="I72" s="36">
        <f>F72*(Rev_Firm - E72*Load_kW/1000) - (1-F72)*Idle_kW/1000*E72</f>
        <v/>
      </c>
      <c r="J72" s="36">
        <f>G72*(Rev_Firm - E72*Load_kW/1000) - (1-G72)*Idle_kW/1000*E72</f>
        <v/>
      </c>
      <c r="K72" s="36">
        <f>H72*(Rev_Interr - Curt_Price*Load_kW/1000) - (1-H72)*Idle_kW/1000*E72</f>
        <v/>
      </c>
    </row>
    <row r="73">
      <c r="B73" t="inlineStr">
        <is>
          <t>Summer</t>
        </is>
      </c>
      <c r="C73" t="n">
        <v>19</v>
      </c>
      <c r="D73" s="27">
        <f>Solar_Profile!E25</f>
        <v/>
      </c>
      <c r="E73" s="31">
        <f>Price_Curve!E25</f>
        <v/>
      </c>
      <c r="F73" s="28">
        <f>1</f>
        <v/>
      </c>
      <c r="G73" s="28">
        <f>IF(RANK(D73,INDIRECT("D"&amp;(6+INT((ROW()-6)/24)*24)&amp;":D"&amp;(6+INT((ROW()-6)/24)*24+23)),0)&lt;=Hrs_Daytime,1,0)</f>
        <v/>
      </c>
      <c r="H73" s="28">
        <f>IF(RANK(D73,INDIRECT("D"&amp;(6+INT((ROW()-6)/24)*24)&amp;":D"&amp;(6+INT((ROW()-6)/24)*24+23)),0)&lt;=Hrs_Curt,1,0)</f>
        <v/>
      </c>
      <c r="I73" s="36">
        <f>F73*(Rev_Firm - E73*Load_kW/1000) - (1-F73)*Idle_kW/1000*E73</f>
        <v/>
      </c>
      <c r="J73" s="36">
        <f>G73*(Rev_Firm - E73*Load_kW/1000) - (1-G73)*Idle_kW/1000*E73</f>
        <v/>
      </c>
      <c r="K73" s="36">
        <f>H73*(Rev_Interr - Curt_Price*Load_kW/1000) - (1-H73)*Idle_kW/1000*E73</f>
        <v/>
      </c>
    </row>
    <row r="74">
      <c r="B74" t="inlineStr">
        <is>
          <t>Summer</t>
        </is>
      </c>
      <c r="C74" t="n">
        <v>20</v>
      </c>
      <c r="D74" s="27">
        <f>Solar_Profile!E26</f>
        <v/>
      </c>
      <c r="E74" s="31">
        <f>Price_Curve!E26</f>
        <v/>
      </c>
      <c r="F74" s="28">
        <f>1</f>
        <v/>
      </c>
      <c r="G74" s="28">
        <f>IF(RANK(D74,INDIRECT("D"&amp;(6+INT((ROW()-6)/24)*24)&amp;":D"&amp;(6+INT((ROW()-6)/24)*24+23)),0)&lt;=Hrs_Daytime,1,0)</f>
        <v/>
      </c>
      <c r="H74" s="28">
        <f>IF(RANK(D74,INDIRECT("D"&amp;(6+INT((ROW()-6)/24)*24)&amp;":D"&amp;(6+INT((ROW()-6)/24)*24+23)),0)&lt;=Hrs_Curt,1,0)</f>
        <v/>
      </c>
      <c r="I74" s="36">
        <f>F74*(Rev_Firm - E74*Load_kW/1000) - (1-F74)*Idle_kW/1000*E74</f>
        <v/>
      </c>
      <c r="J74" s="36">
        <f>G74*(Rev_Firm - E74*Load_kW/1000) - (1-G74)*Idle_kW/1000*E74</f>
        <v/>
      </c>
      <c r="K74" s="36">
        <f>H74*(Rev_Interr - Curt_Price*Load_kW/1000) - (1-H74)*Idle_kW/1000*E74</f>
        <v/>
      </c>
    </row>
    <row r="75">
      <c r="B75" t="inlineStr">
        <is>
          <t>Summer</t>
        </is>
      </c>
      <c r="C75" t="n">
        <v>21</v>
      </c>
      <c r="D75" s="27">
        <f>Solar_Profile!E27</f>
        <v/>
      </c>
      <c r="E75" s="31">
        <f>Price_Curve!E27</f>
        <v/>
      </c>
      <c r="F75" s="28">
        <f>1</f>
        <v/>
      </c>
      <c r="G75" s="28">
        <f>IF(RANK(D75,INDIRECT("D"&amp;(6+INT((ROW()-6)/24)*24)&amp;":D"&amp;(6+INT((ROW()-6)/24)*24+23)),0)&lt;=Hrs_Daytime,1,0)</f>
        <v/>
      </c>
      <c r="H75" s="28">
        <f>IF(RANK(D75,INDIRECT("D"&amp;(6+INT((ROW()-6)/24)*24)&amp;":D"&amp;(6+INT((ROW()-6)/24)*24+23)),0)&lt;=Hrs_Curt,1,0)</f>
        <v/>
      </c>
      <c r="I75" s="36">
        <f>F75*(Rev_Firm - E75*Load_kW/1000) - (1-F75)*Idle_kW/1000*E75</f>
        <v/>
      </c>
      <c r="J75" s="36">
        <f>G75*(Rev_Firm - E75*Load_kW/1000) - (1-G75)*Idle_kW/1000*E75</f>
        <v/>
      </c>
      <c r="K75" s="36">
        <f>H75*(Rev_Interr - Curt_Price*Load_kW/1000) - (1-H75)*Idle_kW/1000*E75</f>
        <v/>
      </c>
    </row>
    <row r="76">
      <c r="B76" t="inlineStr">
        <is>
          <t>Summer</t>
        </is>
      </c>
      <c r="C76" t="n">
        <v>22</v>
      </c>
      <c r="D76" s="27">
        <f>Solar_Profile!E28</f>
        <v/>
      </c>
      <c r="E76" s="31">
        <f>Price_Curve!E28</f>
        <v/>
      </c>
      <c r="F76" s="28">
        <f>1</f>
        <v/>
      </c>
      <c r="G76" s="28">
        <f>IF(RANK(D76,INDIRECT("D"&amp;(6+INT((ROW()-6)/24)*24)&amp;":D"&amp;(6+INT((ROW()-6)/24)*24+23)),0)&lt;=Hrs_Daytime,1,0)</f>
        <v/>
      </c>
      <c r="H76" s="28">
        <f>IF(RANK(D76,INDIRECT("D"&amp;(6+INT((ROW()-6)/24)*24)&amp;":D"&amp;(6+INT((ROW()-6)/24)*24+23)),0)&lt;=Hrs_Curt,1,0)</f>
        <v/>
      </c>
      <c r="I76" s="36">
        <f>F76*(Rev_Firm - E76*Load_kW/1000) - (1-F76)*Idle_kW/1000*E76</f>
        <v/>
      </c>
      <c r="J76" s="36">
        <f>G76*(Rev_Firm - E76*Load_kW/1000) - (1-G76)*Idle_kW/1000*E76</f>
        <v/>
      </c>
      <c r="K76" s="36">
        <f>H76*(Rev_Interr - Curt_Price*Load_kW/1000) - (1-H76)*Idle_kW/1000*E76</f>
        <v/>
      </c>
    </row>
    <row r="77">
      <c r="B77" t="inlineStr">
        <is>
          <t>Summer</t>
        </is>
      </c>
      <c r="C77" t="n">
        <v>23</v>
      </c>
      <c r="D77" s="27">
        <f>Solar_Profile!E29</f>
        <v/>
      </c>
      <c r="E77" s="31">
        <f>Price_Curve!E29</f>
        <v/>
      </c>
      <c r="F77" s="28">
        <f>1</f>
        <v/>
      </c>
      <c r="G77" s="28">
        <f>IF(RANK(D77,INDIRECT("D"&amp;(6+INT((ROW()-6)/24)*24)&amp;":D"&amp;(6+INT((ROW()-6)/24)*24+23)),0)&lt;=Hrs_Daytime,1,0)</f>
        <v/>
      </c>
      <c r="H77" s="28">
        <f>IF(RANK(D77,INDIRECT("D"&amp;(6+INT((ROW()-6)/24)*24)&amp;":D"&amp;(6+INT((ROW()-6)/24)*24+23)),0)&lt;=Hrs_Curt,1,0)</f>
        <v/>
      </c>
      <c r="I77" s="36">
        <f>F77*(Rev_Firm - E77*Load_kW/1000) - (1-F77)*Idle_kW/1000*E77</f>
        <v/>
      </c>
      <c r="J77" s="36">
        <f>G77*(Rev_Firm - E77*Load_kW/1000) - (1-G77)*Idle_kW/1000*E77</f>
        <v/>
      </c>
      <c r="K77" s="36">
        <f>H77*(Rev_Interr - Curt_Price*Load_kW/1000) - (1-H77)*Idle_kW/1000*E77</f>
        <v/>
      </c>
    </row>
    <row r="78">
      <c r="B78" t="inlineStr">
        <is>
          <t>Autumn</t>
        </is>
      </c>
      <c r="C78" t="n">
        <v>0</v>
      </c>
      <c r="D78" s="27">
        <f>Solar_Profile!F6</f>
        <v/>
      </c>
      <c r="E78" s="31">
        <f>Price_Curve!F6</f>
        <v/>
      </c>
      <c r="F78" s="28">
        <f>1</f>
        <v/>
      </c>
      <c r="G78" s="28">
        <f>IF(RANK(D78,INDIRECT("D"&amp;(6+INT((ROW()-6)/24)*24)&amp;":D"&amp;(6+INT((ROW()-6)/24)*24+23)),0)&lt;=Hrs_Daytime,1,0)</f>
        <v/>
      </c>
      <c r="H78" s="28">
        <f>IF(RANK(D78,INDIRECT("D"&amp;(6+INT((ROW()-6)/24)*24)&amp;":D"&amp;(6+INT((ROW()-6)/24)*24+23)),0)&lt;=Hrs_Curt,1,0)</f>
        <v/>
      </c>
      <c r="I78" s="36">
        <f>F78*(Rev_Firm - E78*Load_kW/1000) - (1-F78)*Idle_kW/1000*E78</f>
        <v/>
      </c>
      <c r="J78" s="36">
        <f>G78*(Rev_Firm - E78*Load_kW/1000) - (1-G78)*Idle_kW/1000*E78</f>
        <v/>
      </c>
      <c r="K78" s="36">
        <f>H78*(Rev_Interr - Curt_Price*Load_kW/1000) - (1-H78)*Idle_kW/1000*E78</f>
        <v/>
      </c>
    </row>
    <row r="79">
      <c r="B79" t="inlineStr">
        <is>
          <t>Autumn</t>
        </is>
      </c>
      <c r="C79" t="n">
        <v>1</v>
      </c>
      <c r="D79" s="27">
        <f>Solar_Profile!F7</f>
        <v/>
      </c>
      <c r="E79" s="31">
        <f>Price_Curve!F7</f>
        <v/>
      </c>
      <c r="F79" s="28">
        <f>1</f>
        <v/>
      </c>
      <c r="G79" s="28">
        <f>IF(RANK(D79,INDIRECT("D"&amp;(6+INT((ROW()-6)/24)*24)&amp;":D"&amp;(6+INT((ROW()-6)/24)*24+23)),0)&lt;=Hrs_Daytime,1,0)</f>
        <v/>
      </c>
      <c r="H79" s="28">
        <f>IF(RANK(D79,INDIRECT("D"&amp;(6+INT((ROW()-6)/24)*24)&amp;":D"&amp;(6+INT((ROW()-6)/24)*24+23)),0)&lt;=Hrs_Curt,1,0)</f>
        <v/>
      </c>
      <c r="I79" s="36">
        <f>F79*(Rev_Firm - E79*Load_kW/1000) - (1-F79)*Idle_kW/1000*E79</f>
        <v/>
      </c>
      <c r="J79" s="36">
        <f>G79*(Rev_Firm - E79*Load_kW/1000) - (1-G79)*Idle_kW/1000*E79</f>
        <v/>
      </c>
      <c r="K79" s="36">
        <f>H79*(Rev_Interr - Curt_Price*Load_kW/1000) - (1-H79)*Idle_kW/1000*E79</f>
        <v/>
      </c>
    </row>
    <row r="80">
      <c r="B80" t="inlineStr">
        <is>
          <t>Autumn</t>
        </is>
      </c>
      <c r="C80" t="n">
        <v>2</v>
      </c>
      <c r="D80" s="27">
        <f>Solar_Profile!F8</f>
        <v/>
      </c>
      <c r="E80" s="31">
        <f>Price_Curve!F8</f>
        <v/>
      </c>
      <c r="F80" s="28">
        <f>1</f>
        <v/>
      </c>
      <c r="G80" s="28">
        <f>IF(RANK(D80,INDIRECT("D"&amp;(6+INT((ROW()-6)/24)*24)&amp;":D"&amp;(6+INT((ROW()-6)/24)*24+23)),0)&lt;=Hrs_Daytime,1,0)</f>
        <v/>
      </c>
      <c r="H80" s="28">
        <f>IF(RANK(D80,INDIRECT("D"&amp;(6+INT((ROW()-6)/24)*24)&amp;":D"&amp;(6+INT((ROW()-6)/24)*24+23)),0)&lt;=Hrs_Curt,1,0)</f>
        <v/>
      </c>
      <c r="I80" s="36">
        <f>F80*(Rev_Firm - E80*Load_kW/1000) - (1-F80)*Idle_kW/1000*E80</f>
        <v/>
      </c>
      <c r="J80" s="36">
        <f>G80*(Rev_Firm - E80*Load_kW/1000) - (1-G80)*Idle_kW/1000*E80</f>
        <v/>
      </c>
      <c r="K80" s="36">
        <f>H80*(Rev_Interr - Curt_Price*Load_kW/1000) - (1-H80)*Idle_kW/1000*E80</f>
        <v/>
      </c>
    </row>
    <row r="81">
      <c r="B81" t="inlineStr">
        <is>
          <t>Autumn</t>
        </is>
      </c>
      <c r="C81" t="n">
        <v>3</v>
      </c>
      <c r="D81" s="27">
        <f>Solar_Profile!F9</f>
        <v/>
      </c>
      <c r="E81" s="31">
        <f>Price_Curve!F9</f>
        <v/>
      </c>
      <c r="F81" s="28">
        <f>1</f>
        <v/>
      </c>
      <c r="G81" s="28">
        <f>IF(RANK(D81,INDIRECT("D"&amp;(6+INT((ROW()-6)/24)*24)&amp;":D"&amp;(6+INT((ROW()-6)/24)*24+23)),0)&lt;=Hrs_Daytime,1,0)</f>
        <v/>
      </c>
      <c r="H81" s="28">
        <f>IF(RANK(D81,INDIRECT("D"&amp;(6+INT((ROW()-6)/24)*24)&amp;":D"&amp;(6+INT((ROW()-6)/24)*24+23)),0)&lt;=Hrs_Curt,1,0)</f>
        <v/>
      </c>
      <c r="I81" s="36">
        <f>F81*(Rev_Firm - E81*Load_kW/1000) - (1-F81)*Idle_kW/1000*E81</f>
        <v/>
      </c>
      <c r="J81" s="36">
        <f>G81*(Rev_Firm - E81*Load_kW/1000) - (1-G81)*Idle_kW/1000*E81</f>
        <v/>
      </c>
      <c r="K81" s="36">
        <f>H81*(Rev_Interr - Curt_Price*Load_kW/1000) - (1-H81)*Idle_kW/1000*E81</f>
        <v/>
      </c>
    </row>
    <row r="82">
      <c r="B82" t="inlineStr">
        <is>
          <t>Autumn</t>
        </is>
      </c>
      <c r="C82" t="n">
        <v>4</v>
      </c>
      <c r="D82" s="27">
        <f>Solar_Profile!F10</f>
        <v/>
      </c>
      <c r="E82" s="31">
        <f>Price_Curve!F10</f>
        <v/>
      </c>
      <c r="F82" s="28">
        <f>1</f>
        <v/>
      </c>
      <c r="G82" s="28">
        <f>IF(RANK(D82,INDIRECT("D"&amp;(6+INT((ROW()-6)/24)*24)&amp;":D"&amp;(6+INT((ROW()-6)/24)*24+23)),0)&lt;=Hrs_Daytime,1,0)</f>
        <v/>
      </c>
      <c r="H82" s="28">
        <f>IF(RANK(D82,INDIRECT("D"&amp;(6+INT((ROW()-6)/24)*24)&amp;":D"&amp;(6+INT((ROW()-6)/24)*24+23)),0)&lt;=Hrs_Curt,1,0)</f>
        <v/>
      </c>
      <c r="I82" s="36">
        <f>F82*(Rev_Firm - E82*Load_kW/1000) - (1-F82)*Idle_kW/1000*E82</f>
        <v/>
      </c>
      <c r="J82" s="36">
        <f>G82*(Rev_Firm - E82*Load_kW/1000) - (1-G82)*Idle_kW/1000*E82</f>
        <v/>
      </c>
      <c r="K82" s="36">
        <f>H82*(Rev_Interr - Curt_Price*Load_kW/1000) - (1-H82)*Idle_kW/1000*E82</f>
        <v/>
      </c>
    </row>
    <row r="83">
      <c r="B83" t="inlineStr">
        <is>
          <t>Autumn</t>
        </is>
      </c>
      <c r="C83" t="n">
        <v>5</v>
      </c>
      <c r="D83" s="27">
        <f>Solar_Profile!F11</f>
        <v/>
      </c>
      <c r="E83" s="31">
        <f>Price_Curve!F11</f>
        <v/>
      </c>
      <c r="F83" s="28">
        <f>1</f>
        <v/>
      </c>
      <c r="G83" s="28">
        <f>IF(RANK(D83,INDIRECT("D"&amp;(6+INT((ROW()-6)/24)*24)&amp;":D"&amp;(6+INT((ROW()-6)/24)*24+23)),0)&lt;=Hrs_Daytime,1,0)</f>
        <v/>
      </c>
      <c r="H83" s="28">
        <f>IF(RANK(D83,INDIRECT("D"&amp;(6+INT((ROW()-6)/24)*24)&amp;":D"&amp;(6+INT((ROW()-6)/24)*24+23)),0)&lt;=Hrs_Curt,1,0)</f>
        <v/>
      </c>
      <c r="I83" s="36">
        <f>F83*(Rev_Firm - E83*Load_kW/1000) - (1-F83)*Idle_kW/1000*E83</f>
        <v/>
      </c>
      <c r="J83" s="36">
        <f>G83*(Rev_Firm - E83*Load_kW/1000) - (1-G83)*Idle_kW/1000*E83</f>
        <v/>
      </c>
      <c r="K83" s="36">
        <f>H83*(Rev_Interr - Curt_Price*Load_kW/1000) - (1-H83)*Idle_kW/1000*E83</f>
        <v/>
      </c>
    </row>
    <row r="84">
      <c r="B84" t="inlineStr">
        <is>
          <t>Autumn</t>
        </is>
      </c>
      <c r="C84" t="n">
        <v>6</v>
      </c>
      <c r="D84" s="27">
        <f>Solar_Profile!F12</f>
        <v/>
      </c>
      <c r="E84" s="31">
        <f>Price_Curve!F12</f>
        <v/>
      </c>
      <c r="F84" s="28">
        <f>1</f>
        <v/>
      </c>
      <c r="G84" s="28">
        <f>IF(RANK(D84,INDIRECT("D"&amp;(6+INT((ROW()-6)/24)*24)&amp;":D"&amp;(6+INT((ROW()-6)/24)*24+23)),0)&lt;=Hrs_Daytime,1,0)</f>
        <v/>
      </c>
      <c r="H84" s="28">
        <f>IF(RANK(D84,INDIRECT("D"&amp;(6+INT((ROW()-6)/24)*24)&amp;":D"&amp;(6+INT((ROW()-6)/24)*24+23)),0)&lt;=Hrs_Curt,1,0)</f>
        <v/>
      </c>
      <c r="I84" s="36">
        <f>F84*(Rev_Firm - E84*Load_kW/1000) - (1-F84)*Idle_kW/1000*E84</f>
        <v/>
      </c>
      <c r="J84" s="36">
        <f>G84*(Rev_Firm - E84*Load_kW/1000) - (1-G84)*Idle_kW/1000*E84</f>
        <v/>
      </c>
      <c r="K84" s="36">
        <f>H84*(Rev_Interr - Curt_Price*Load_kW/1000) - (1-H84)*Idle_kW/1000*E84</f>
        <v/>
      </c>
    </row>
    <row r="85">
      <c r="B85" t="inlineStr">
        <is>
          <t>Autumn</t>
        </is>
      </c>
      <c r="C85" t="n">
        <v>7</v>
      </c>
      <c r="D85" s="27">
        <f>Solar_Profile!F13</f>
        <v/>
      </c>
      <c r="E85" s="31">
        <f>Price_Curve!F13</f>
        <v/>
      </c>
      <c r="F85" s="28">
        <f>1</f>
        <v/>
      </c>
      <c r="G85" s="28">
        <f>IF(RANK(D85,INDIRECT("D"&amp;(6+INT((ROW()-6)/24)*24)&amp;":D"&amp;(6+INT((ROW()-6)/24)*24+23)),0)&lt;=Hrs_Daytime,1,0)</f>
        <v/>
      </c>
      <c r="H85" s="28">
        <f>IF(RANK(D85,INDIRECT("D"&amp;(6+INT((ROW()-6)/24)*24)&amp;":D"&amp;(6+INT((ROW()-6)/24)*24+23)),0)&lt;=Hrs_Curt,1,0)</f>
        <v/>
      </c>
      <c r="I85" s="36">
        <f>F85*(Rev_Firm - E85*Load_kW/1000) - (1-F85)*Idle_kW/1000*E85</f>
        <v/>
      </c>
      <c r="J85" s="36">
        <f>G85*(Rev_Firm - E85*Load_kW/1000) - (1-G85)*Idle_kW/1000*E85</f>
        <v/>
      </c>
      <c r="K85" s="36">
        <f>H85*(Rev_Interr - Curt_Price*Load_kW/1000) - (1-H85)*Idle_kW/1000*E85</f>
        <v/>
      </c>
    </row>
    <row r="86">
      <c r="B86" t="inlineStr">
        <is>
          <t>Autumn</t>
        </is>
      </c>
      <c r="C86" t="n">
        <v>8</v>
      </c>
      <c r="D86" s="27">
        <f>Solar_Profile!F14</f>
        <v/>
      </c>
      <c r="E86" s="31">
        <f>Price_Curve!F14</f>
        <v/>
      </c>
      <c r="F86" s="28">
        <f>1</f>
        <v/>
      </c>
      <c r="G86" s="28">
        <f>IF(RANK(D86,INDIRECT("D"&amp;(6+INT((ROW()-6)/24)*24)&amp;":D"&amp;(6+INT((ROW()-6)/24)*24+23)),0)&lt;=Hrs_Daytime,1,0)</f>
        <v/>
      </c>
      <c r="H86" s="28">
        <f>IF(RANK(D86,INDIRECT("D"&amp;(6+INT((ROW()-6)/24)*24)&amp;":D"&amp;(6+INT((ROW()-6)/24)*24+23)),0)&lt;=Hrs_Curt,1,0)</f>
        <v/>
      </c>
      <c r="I86" s="36">
        <f>F86*(Rev_Firm - E86*Load_kW/1000) - (1-F86)*Idle_kW/1000*E86</f>
        <v/>
      </c>
      <c r="J86" s="36">
        <f>G86*(Rev_Firm - E86*Load_kW/1000) - (1-G86)*Idle_kW/1000*E86</f>
        <v/>
      </c>
      <c r="K86" s="36">
        <f>H86*(Rev_Interr - Curt_Price*Load_kW/1000) - (1-H86)*Idle_kW/1000*E86</f>
        <v/>
      </c>
    </row>
    <row r="87">
      <c r="B87" t="inlineStr">
        <is>
          <t>Autumn</t>
        </is>
      </c>
      <c r="C87" t="n">
        <v>9</v>
      </c>
      <c r="D87" s="27">
        <f>Solar_Profile!F15</f>
        <v/>
      </c>
      <c r="E87" s="31">
        <f>Price_Curve!F15</f>
        <v/>
      </c>
      <c r="F87" s="28">
        <f>1</f>
        <v/>
      </c>
      <c r="G87" s="28">
        <f>IF(RANK(D87,INDIRECT("D"&amp;(6+INT((ROW()-6)/24)*24)&amp;":D"&amp;(6+INT((ROW()-6)/24)*24+23)),0)&lt;=Hrs_Daytime,1,0)</f>
        <v/>
      </c>
      <c r="H87" s="28">
        <f>IF(RANK(D87,INDIRECT("D"&amp;(6+INT((ROW()-6)/24)*24)&amp;":D"&amp;(6+INT((ROW()-6)/24)*24+23)),0)&lt;=Hrs_Curt,1,0)</f>
        <v/>
      </c>
      <c r="I87" s="36">
        <f>F87*(Rev_Firm - E87*Load_kW/1000) - (1-F87)*Idle_kW/1000*E87</f>
        <v/>
      </c>
      <c r="J87" s="36">
        <f>G87*(Rev_Firm - E87*Load_kW/1000) - (1-G87)*Idle_kW/1000*E87</f>
        <v/>
      </c>
      <c r="K87" s="36">
        <f>H87*(Rev_Interr - Curt_Price*Load_kW/1000) - (1-H87)*Idle_kW/1000*E87</f>
        <v/>
      </c>
    </row>
    <row r="88">
      <c r="B88" t="inlineStr">
        <is>
          <t>Autumn</t>
        </is>
      </c>
      <c r="C88" t="n">
        <v>10</v>
      </c>
      <c r="D88" s="27">
        <f>Solar_Profile!F16</f>
        <v/>
      </c>
      <c r="E88" s="31">
        <f>Price_Curve!F16</f>
        <v/>
      </c>
      <c r="F88" s="28">
        <f>1</f>
        <v/>
      </c>
      <c r="G88" s="28">
        <f>IF(RANK(D88,INDIRECT("D"&amp;(6+INT((ROW()-6)/24)*24)&amp;":D"&amp;(6+INT((ROW()-6)/24)*24+23)),0)&lt;=Hrs_Daytime,1,0)</f>
        <v/>
      </c>
      <c r="H88" s="28">
        <f>IF(RANK(D88,INDIRECT("D"&amp;(6+INT((ROW()-6)/24)*24)&amp;":D"&amp;(6+INT((ROW()-6)/24)*24+23)),0)&lt;=Hrs_Curt,1,0)</f>
        <v/>
      </c>
      <c r="I88" s="36">
        <f>F88*(Rev_Firm - E88*Load_kW/1000) - (1-F88)*Idle_kW/1000*E88</f>
        <v/>
      </c>
      <c r="J88" s="36">
        <f>G88*(Rev_Firm - E88*Load_kW/1000) - (1-G88)*Idle_kW/1000*E88</f>
        <v/>
      </c>
      <c r="K88" s="36">
        <f>H88*(Rev_Interr - Curt_Price*Load_kW/1000) - (1-H88)*Idle_kW/1000*E88</f>
        <v/>
      </c>
    </row>
    <row r="89">
      <c r="B89" t="inlineStr">
        <is>
          <t>Autumn</t>
        </is>
      </c>
      <c r="C89" t="n">
        <v>11</v>
      </c>
      <c r="D89" s="27">
        <f>Solar_Profile!F17</f>
        <v/>
      </c>
      <c r="E89" s="31">
        <f>Price_Curve!F17</f>
        <v/>
      </c>
      <c r="F89" s="28">
        <f>1</f>
        <v/>
      </c>
      <c r="G89" s="28">
        <f>IF(RANK(D89,INDIRECT("D"&amp;(6+INT((ROW()-6)/24)*24)&amp;":D"&amp;(6+INT((ROW()-6)/24)*24+23)),0)&lt;=Hrs_Daytime,1,0)</f>
        <v/>
      </c>
      <c r="H89" s="28">
        <f>IF(RANK(D89,INDIRECT("D"&amp;(6+INT((ROW()-6)/24)*24)&amp;":D"&amp;(6+INT((ROW()-6)/24)*24+23)),0)&lt;=Hrs_Curt,1,0)</f>
        <v/>
      </c>
      <c r="I89" s="36">
        <f>F89*(Rev_Firm - E89*Load_kW/1000) - (1-F89)*Idle_kW/1000*E89</f>
        <v/>
      </c>
      <c r="J89" s="36">
        <f>G89*(Rev_Firm - E89*Load_kW/1000) - (1-G89)*Idle_kW/1000*E89</f>
        <v/>
      </c>
      <c r="K89" s="36">
        <f>H89*(Rev_Interr - Curt_Price*Load_kW/1000) - (1-H89)*Idle_kW/1000*E89</f>
        <v/>
      </c>
    </row>
    <row r="90">
      <c r="B90" t="inlineStr">
        <is>
          <t>Autumn</t>
        </is>
      </c>
      <c r="C90" t="n">
        <v>12</v>
      </c>
      <c r="D90" s="27">
        <f>Solar_Profile!F18</f>
        <v/>
      </c>
      <c r="E90" s="31">
        <f>Price_Curve!F18</f>
        <v/>
      </c>
      <c r="F90" s="28">
        <f>1</f>
        <v/>
      </c>
      <c r="G90" s="28">
        <f>IF(RANK(D90,INDIRECT("D"&amp;(6+INT((ROW()-6)/24)*24)&amp;":D"&amp;(6+INT((ROW()-6)/24)*24+23)),0)&lt;=Hrs_Daytime,1,0)</f>
        <v/>
      </c>
      <c r="H90" s="28">
        <f>IF(RANK(D90,INDIRECT("D"&amp;(6+INT((ROW()-6)/24)*24)&amp;":D"&amp;(6+INT((ROW()-6)/24)*24+23)),0)&lt;=Hrs_Curt,1,0)</f>
        <v/>
      </c>
      <c r="I90" s="36">
        <f>F90*(Rev_Firm - E90*Load_kW/1000) - (1-F90)*Idle_kW/1000*E90</f>
        <v/>
      </c>
      <c r="J90" s="36">
        <f>G90*(Rev_Firm - E90*Load_kW/1000) - (1-G90)*Idle_kW/1000*E90</f>
        <v/>
      </c>
      <c r="K90" s="36">
        <f>H90*(Rev_Interr - Curt_Price*Load_kW/1000) - (1-H90)*Idle_kW/1000*E90</f>
        <v/>
      </c>
    </row>
    <row r="91">
      <c r="B91" t="inlineStr">
        <is>
          <t>Autumn</t>
        </is>
      </c>
      <c r="C91" t="n">
        <v>13</v>
      </c>
      <c r="D91" s="27">
        <f>Solar_Profile!F19</f>
        <v/>
      </c>
      <c r="E91" s="31">
        <f>Price_Curve!F19</f>
        <v/>
      </c>
      <c r="F91" s="28">
        <f>1</f>
        <v/>
      </c>
      <c r="G91" s="28">
        <f>IF(RANK(D91,INDIRECT("D"&amp;(6+INT((ROW()-6)/24)*24)&amp;":D"&amp;(6+INT((ROW()-6)/24)*24+23)),0)&lt;=Hrs_Daytime,1,0)</f>
        <v/>
      </c>
      <c r="H91" s="28">
        <f>IF(RANK(D91,INDIRECT("D"&amp;(6+INT((ROW()-6)/24)*24)&amp;":D"&amp;(6+INT((ROW()-6)/24)*24+23)),0)&lt;=Hrs_Curt,1,0)</f>
        <v/>
      </c>
      <c r="I91" s="36">
        <f>F91*(Rev_Firm - E91*Load_kW/1000) - (1-F91)*Idle_kW/1000*E91</f>
        <v/>
      </c>
      <c r="J91" s="36">
        <f>G91*(Rev_Firm - E91*Load_kW/1000) - (1-G91)*Idle_kW/1000*E91</f>
        <v/>
      </c>
      <c r="K91" s="36">
        <f>H91*(Rev_Interr - Curt_Price*Load_kW/1000) - (1-H91)*Idle_kW/1000*E91</f>
        <v/>
      </c>
    </row>
    <row r="92">
      <c r="B92" t="inlineStr">
        <is>
          <t>Autumn</t>
        </is>
      </c>
      <c r="C92" t="n">
        <v>14</v>
      </c>
      <c r="D92" s="27">
        <f>Solar_Profile!F20</f>
        <v/>
      </c>
      <c r="E92" s="31">
        <f>Price_Curve!F20</f>
        <v/>
      </c>
      <c r="F92" s="28">
        <f>1</f>
        <v/>
      </c>
      <c r="G92" s="28">
        <f>IF(RANK(D92,INDIRECT("D"&amp;(6+INT((ROW()-6)/24)*24)&amp;":D"&amp;(6+INT((ROW()-6)/24)*24+23)),0)&lt;=Hrs_Daytime,1,0)</f>
        <v/>
      </c>
      <c r="H92" s="28">
        <f>IF(RANK(D92,INDIRECT("D"&amp;(6+INT((ROW()-6)/24)*24)&amp;":D"&amp;(6+INT((ROW()-6)/24)*24+23)),0)&lt;=Hrs_Curt,1,0)</f>
        <v/>
      </c>
      <c r="I92" s="36">
        <f>F92*(Rev_Firm - E92*Load_kW/1000) - (1-F92)*Idle_kW/1000*E92</f>
        <v/>
      </c>
      <c r="J92" s="36">
        <f>G92*(Rev_Firm - E92*Load_kW/1000) - (1-G92)*Idle_kW/1000*E92</f>
        <v/>
      </c>
      <c r="K92" s="36">
        <f>H92*(Rev_Interr - Curt_Price*Load_kW/1000) - (1-H92)*Idle_kW/1000*E92</f>
        <v/>
      </c>
    </row>
    <row r="93">
      <c r="B93" t="inlineStr">
        <is>
          <t>Autumn</t>
        </is>
      </c>
      <c r="C93" t="n">
        <v>15</v>
      </c>
      <c r="D93" s="27">
        <f>Solar_Profile!F21</f>
        <v/>
      </c>
      <c r="E93" s="31">
        <f>Price_Curve!F21</f>
        <v/>
      </c>
      <c r="F93" s="28">
        <f>1</f>
        <v/>
      </c>
      <c r="G93" s="28">
        <f>IF(RANK(D93,INDIRECT("D"&amp;(6+INT((ROW()-6)/24)*24)&amp;":D"&amp;(6+INT((ROW()-6)/24)*24+23)),0)&lt;=Hrs_Daytime,1,0)</f>
        <v/>
      </c>
      <c r="H93" s="28">
        <f>IF(RANK(D93,INDIRECT("D"&amp;(6+INT((ROW()-6)/24)*24)&amp;":D"&amp;(6+INT((ROW()-6)/24)*24+23)),0)&lt;=Hrs_Curt,1,0)</f>
        <v/>
      </c>
      <c r="I93" s="36">
        <f>F93*(Rev_Firm - E93*Load_kW/1000) - (1-F93)*Idle_kW/1000*E93</f>
        <v/>
      </c>
      <c r="J93" s="36">
        <f>G93*(Rev_Firm - E93*Load_kW/1000) - (1-G93)*Idle_kW/1000*E93</f>
        <v/>
      </c>
      <c r="K93" s="36">
        <f>H93*(Rev_Interr - Curt_Price*Load_kW/1000) - (1-H93)*Idle_kW/1000*E93</f>
        <v/>
      </c>
    </row>
    <row r="94">
      <c r="B94" t="inlineStr">
        <is>
          <t>Autumn</t>
        </is>
      </c>
      <c r="C94" t="n">
        <v>16</v>
      </c>
      <c r="D94" s="27">
        <f>Solar_Profile!F22</f>
        <v/>
      </c>
      <c r="E94" s="31">
        <f>Price_Curve!F22</f>
        <v/>
      </c>
      <c r="F94" s="28">
        <f>1</f>
        <v/>
      </c>
      <c r="G94" s="28">
        <f>IF(RANK(D94,INDIRECT("D"&amp;(6+INT((ROW()-6)/24)*24)&amp;":D"&amp;(6+INT((ROW()-6)/24)*24+23)),0)&lt;=Hrs_Daytime,1,0)</f>
        <v/>
      </c>
      <c r="H94" s="28">
        <f>IF(RANK(D94,INDIRECT("D"&amp;(6+INT((ROW()-6)/24)*24)&amp;":D"&amp;(6+INT((ROW()-6)/24)*24+23)),0)&lt;=Hrs_Curt,1,0)</f>
        <v/>
      </c>
      <c r="I94" s="36">
        <f>F94*(Rev_Firm - E94*Load_kW/1000) - (1-F94)*Idle_kW/1000*E94</f>
        <v/>
      </c>
      <c r="J94" s="36">
        <f>G94*(Rev_Firm - E94*Load_kW/1000) - (1-G94)*Idle_kW/1000*E94</f>
        <v/>
      </c>
      <c r="K94" s="36">
        <f>H94*(Rev_Interr - Curt_Price*Load_kW/1000) - (1-H94)*Idle_kW/1000*E94</f>
        <v/>
      </c>
    </row>
    <row r="95">
      <c r="B95" t="inlineStr">
        <is>
          <t>Autumn</t>
        </is>
      </c>
      <c r="C95" t="n">
        <v>17</v>
      </c>
      <c r="D95" s="27">
        <f>Solar_Profile!F23</f>
        <v/>
      </c>
      <c r="E95" s="31">
        <f>Price_Curve!F23</f>
        <v/>
      </c>
      <c r="F95" s="28">
        <f>1</f>
        <v/>
      </c>
      <c r="G95" s="28">
        <f>IF(RANK(D95,INDIRECT("D"&amp;(6+INT((ROW()-6)/24)*24)&amp;":D"&amp;(6+INT((ROW()-6)/24)*24+23)),0)&lt;=Hrs_Daytime,1,0)</f>
        <v/>
      </c>
      <c r="H95" s="28">
        <f>IF(RANK(D95,INDIRECT("D"&amp;(6+INT((ROW()-6)/24)*24)&amp;":D"&amp;(6+INT((ROW()-6)/24)*24+23)),0)&lt;=Hrs_Curt,1,0)</f>
        <v/>
      </c>
      <c r="I95" s="36">
        <f>F95*(Rev_Firm - E95*Load_kW/1000) - (1-F95)*Idle_kW/1000*E95</f>
        <v/>
      </c>
      <c r="J95" s="36">
        <f>G95*(Rev_Firm - E95*Load_kW/1000) - (1-G95)*Idle_kW/1000*E95</f>
        <v/>
      </c>
      <c r="K95" s="36">
        <f>H95*(Rev_Interr - Curt_Price*Load_kW/1000) - (1-H95)*Idle_kW/1000*E95</f>
        <v/>
      </c>
    </row>
    <row r="96">
      <c r="B96" t="inlineStr">
        <is>
          <t>Autumn</t>
        </is>
      </c>
      <c r="C96" t="n">
        <v>18</v>
      </c>
      <c r="D96" s="27">
        <f>Solar_Profile!F24</f>
        <v/>
      </c>
      <c r="E96" s="31">
        <f>Price_Curve!F24</f>
        <v/>
      </c>
      <c r="F96" s="28">
        <f>1</f>
        <v/>
      </c>
      <c r="G96" s="28">
        <f>IF(RANK(D96,INDIRECT("D"&amp;(6+INT((ROW()-6)/24)*24)&amp;":D"&amp;(6+INT((ROW()-6)/24)*24+23)),0)&lt;=Hrs_Daytime,1,0)</f>
        <v/>
      </c>
      <c r="H96" s="28">
        <f>IF(RANK(D96,INDIRECT("D"&amp;(6+INT((ROW()-6)/24)*24)&amp;":D"&amp;(6+INT((ROW()-6)/24)*24+23)),0)&lt;=Hrs_Curt,1,0)</f>
        <v/>
      </c>
      <c r="I96" s="36">
        <f>F96*(Rev_Firm - E96*Load_kW/1000) - (1-F96)*Idle_kW/1000*E96</f>
        <v/>
      </c>
      <c r="J96" s="36">
        <f>G96*(Rev_Firm - E96*Load_kW/1000) - (1-G96)*Idle_kW/1000*E96</f>
        <v/>
      </c>
      <c r="K96" s="36">
        <f>H96*(Rev_Interr - Curt_Price*Load_kW/1000) - (1-H96)*Idle_kW/1000*E96</f>
        <v/>
      </c>
    </row>
    <row r="97">
      <c r="B97" t="inlineStr">
        <is>
          <t>Autumn</t>
        </is>
      </c>
      <c r="C97" t="n">
        <v>19</v>
      </c>
      <c r="D97" s="27">
        <f>Solar_Profile!F25</f>
        <v/>
      </c>
      <c r="E97" s="31">
        <f>Price_Curve!F25</f>
        <v/>
      </c>
      <c r="F97" s="28">
        <f>1</f>
        <v/>
      </c>
      <c r="G97" s="28">
        <f>IF(RANK(D97,INDIRECT("D"&amp;(6+INT((ROW()-6)/24)*24)&amp;":D"&amp;(6+INT((ROW()-6)/24)*24+23)),0)&lt;=Hrs_Daytime,1,0)</f>
        <v/>
      </c>
      <c r="H97" s="28">
        <f>IF(RANK(D97,INDIRECT("D"&amp;(6+INT((ROW()-6)/24)*24)&amp;":D"&amp;(6+INT((ROW()-6)/24)*24+23)),0)&lt;=Hrs_Curt,1,0)</f>
        <v/>
      </c>
      <c r="I97" s="36">
        <f>F97*(Rev_Firm - E97*Load_kW/1000) - (1-F97)*Idle_kW/1000*E97</f>
        <v/>
      </c>
      <c r="J97" s="36">
        <f>G97*(Rev_Firm - E97*Load_kW/1000) - (1-G97)*Idle_kW/1000*E97</f>
        <v/>
      </c>
      <c r="K97" s="36">
        <f>H97*(Rev_Interr - Curt_Price*Load_kW/1000) - (1-H97)*Idle_kW/1000*E97</f>
        <v/>
      </c>
    </row>
    <row r="98">
      <c r="B98" t="inlineStr">
        <is>
          <t>Autumn</t>
        </is>
      </c>
      <c r="C98" t="n">
        <v>20</v>
      </c>
      <c r="D98" s="27">
        <f>Solar_Profile!F26</f>
        <v/>
      </c>
      <c r="E98" s="31">
        <f>Price_Curve!F26</f>
        <v/>
      </c>
      <c r="F98" s="28">
        <f>1</f>
        <v/>
      </c>
      <c r="G98" s="28">
        <f>IF(RANK(D98,INDIRECT("D"&amp;(6+INT((ROW()-6)/24)*24)&amp;":D"&amp;(6+INT((ROW()-6)/24)*24+23)),0)&lt;=Hrs_Daytime,1,0)</f>
        <v/>
      </c>
      <c r="H98" s="28">
        <f>IF(RANK(D98,INDIRECT("D"&amp;(6+INT((ROW()-6)/24)*24)&amp;":D"&amp;(6+INT((ROW()-6)/24)*24+23)),0)&lt;=Hrs_Curt,1,0)</f>
        <v/>
      </c>
      <c r="I98" s="36">
        <f>F98*(Rev_Firm - E98*Load_kW/1000) - (1-F98)*Idle_kW/1000*E98</f>
        <v/>
      </c>
      <c r="J98" s="36">
        <f>G98*(Rev_Firm - E98*Load_kW/1000) - (1-G98)*Idle_kW/1000*E98</f>
        <v/>
      </c>
      <c r="K98" s="36">
        <f>H98*(Rev_Interr - Curt_Price*Load_kW/1000) - (1-H98)*Idle_kW/1000*E98</f>
        <v/>
      </c>
    </row>
    <row r="99">
      <c r="B99" t="inlineStr">
        <is>
          <t>Autumn</t>
        </is>
      </c>
      <c r="C99" t="n">
        <v>21</v>
      </c>
      <c r="D99" s="27">
        <f>Solar_Profile!F27</f>
        <v/>
      </c>
      <c r="E99" s="31">
        <f>Price_Curve!F27</f>
        <v/>
      </c>
      <c r="F99" s="28">
        <f>1</f>
        <v/>
      </c>
      <c r="G99" s="28">
        <f>IF(RANK(D99,INDIRECT("D"&amp;(6+INT((ROW()-6)/24)*24)&amp;":D"&amp;(6+INT((ROW()-6)/24)*24+23)),0)&lt;=Hrs_Daytime,1,0)</f>
        <v/>
      </c>
      <c r="H99" s="28">
        <f>IF(RANK(D99,INDIRECT("D"&amp;(6+INT((ROW()-6)/24)*24)&amp;":D"&amp;(6+INT((ROW()-6)/24)*24+23)),0)&lt;=Hrs_Curt,1,0)</f>
        <v/>
      </c>
      <c r="I99" s="36">
        <f>F99*(Rev_Firm - E99*Load_kW/1000) - (1-F99)*Idle_kW/1000*E99</f>
        <v/>
      </c>
      <c r="J99" s="36">
        <f>G99*(Rev_Firm - E99*Load_kW/1000) - (1-G99)*Idle_kW/1000*E99</f>
        <v/>
      </c>
      <c r="K99" s="36">
        <f>H99*(Rev_Interr - Curt_Price*Load_kW/1000) - (1-H99)*Idle_kW/1000*E99</f>
        <v/>
      </c>
    </row>
    <row r="100">
      <c r="B100" t="inlineStr">
        <is>
          <t>Autumn</t>
        </is>
      </c>
      <c r="C100" t="n">
        <v>22</v>
      </c>
      <c r="D100" s="27">
        <f>Solar_Profile!F28</f>
        <v/>
      </c>
      <c r="E100" s="31">
        <f>Price_Curve!F28</f>
        <v/>
      </c>
      <c r="F100" s="28">
        <f>1</f>
        <v/>
      </c>
      <c r="G100" s="28">
        <f>IF(RANK(D100,INDIRECT("D"&amp;(6+INT((ROW()-6)/24)*24)&amp;":D"&amp;(6+INT((ROW()-6)/24)*24+23)),0)&lt;=Hrs_Daytime,1,0)</f>
        <v/>
      </c>
      <c r="H100" s="28">
        <f>IF(RANK(D100,INDIRECT("D"&amp;(6+INT((ROW()-6)/24)*24)&amp;":D"&amp;(6+INT((ROW()-6)/24)*24+23)),0)&lt;=Hrs_Curt,1,0)</f>
        <v/>
      </c>
      <c r="I100" s="36">
        <f>F100*(Rev_Firm - E100*Load_kW/1000) - (1-F100)*Idle_kW/1000*E100</f>
        <v/>
      </c>
      <c r="J100" s="36">
        <f>G100*(Rev_Firm - E100*Load_kW/1000) - (1-G100)*Idle_kW/1000*E100</f>
        <v/>
      </c>
      <c r="K100" s="36">
        <f>H100*(Rev_Interr - Curt_Price*Load_kW/1000) - (1-H100)*Idle_kW/1000*E100</f>
        <v/>
      </c>
    </row>
    <row r="101">
      <c r="B101" t="inlineStr">
        <is>
          <t>Autumn</t>
        </is>
      </c>
      <c r="C101" t="n">
        <v>23</v>
      </c>
      <c r="D101" s="27">
        <f>Solar_Profile!F29</f>
        <v/>
      </c>
      <c r="E101" s="31">
        <f>Price_Curve!F29</f>
        <v/>
      </c>
      <c r="F101" s="28">
        <f>1</f>
        <v/>
      </c>
      <c r="G101" s="28">
        <f>IF(RANK(D101,INDIRECT("D"&amp;(6+INT((ROW()-6)/24)*24)&amp;":D"&amp;(6+INT((ROW()-6)/24)*24+23)),0)&lt;=Hrs_Daytime,1,0)</f>
        <v/>
      </c>
      <c r="H101" s="28">
        <f>IF(RANK(D101,INDIRECT("D"&amp;(6+INT((ROW()-6)/24)*24)&amp;":D"&amp;(6+INT((ROW()-6)/24)*24+23)),0)&lt;=Hrs_Curt,1,0)</f>
        <v/>
      </c>
      <c r="I101" s="36">
        <f>F101*(Rev_Firm - E101*Load_kW/1000) - (1-F101)*Idle_kW/1000*E101</f>
        <v/>
      </c>
      <c r="J101" s="36">
        <f>G101*(Rev_Firm - E101*Load_kW/1000) - (1-G101)*Idle_kW/1000*E101</f>
        <v/>
      </c>
      <c r="K101" s="36">
        <f>H101*(Rev_Interr - Curt_Price*Load_kW/1000) - (1-H101)*Idle_kW/1000*E101</f>
        <v/>
      </c>
    </row>
    <row r="103">
      <c r="B103" s="29" t="inlineStr">
        <is>
          <t>Annual scaled (×91.25 days/season)</t>
        </is>
      </c>
      <c r="I103" s="31">
        <f>SUM(I6:I101)*91.25</f>
        <v/>
      </c>
      <c r="J103" s="31">
        <f>SUM(J6:J101)*91.25</f>
        <v/>
      </c>
      <c r="K103" s="31">
        <f>SUM(K6:K101)*91.25</f>
        <v/>
      </c>
    </row>
    <row r="104">
      <c r="B104" s="29" t="inlineStr">
        <is>
          <t>Less: fixed cost / GPU / yr</t>
        </is>
      </c>
      <c r="I104" s="31">
        <f>-Fixed_Cost_GPU</f>
        <v/>
      </c>
      <c r="J104" s="31">
        <f>-Fixed_Cost_GPU</f>
        <v/>
      </c>
      <c r="K104" s="31">
        <f>-Fixed_Cost_GPU</f>
        <v/>
      </c>
    </row>
    <row r="105">
      <c r="B105" s="29" t="inlineStr">
        <is>
          <t>EBITDA per GPU per year (hourly-built)</t>
        </is>
      </c>
      <c r="I105" s="34">
        <f>I103+I104</f>
        <v/>
      </c>
      <c r="J105" s="34">
        <f>J103+J104</f>
        <v/>
      </c>
      <c r="K105" s="34">
        <f>K103+K104</f>
        <v/>
      </c>
    </row>
  </sheetData>
  <mergeCells count="5">
    <mergeCell ref="B3:J3"/>
    <mergeCell ref="B105:H105"/>
    <mergeCell ref="B104:H104"/>
    <mergeCell ref="B103:H103"/>
    <mergeCell ref="B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G30"/>
  <sheetViews>
    <sheetView showGridLines="0" workbookViewId="0">
      <selection activeCell="A1" sqref="A1"/>
    </sheetView>
  </sheetViews>
  <sheetFormatPr baseColWidth="8" defaultRowHeight="15"/>
  <cols>
    <col width="3" customWidth="1" min="1" max="1"/>
    <col width="22" customWidth="1" min="2" max="2"/>
    <col width="18" customWidth="1" min="3" max="3"/>
    <col width="18" customWidth="1" min="4" max="4"/>
    <col width="18" customWidth="1" min="5" max="5"/>
    <col width="4" customWidth="1" min="6" max="6"/>
    <col width="22" customWidth="1" min="7" max="7"/>
  </cols>
  <sheetData>
    <row r="2">
      <c r="B2" s="12" t="inlineStr">
        <is>
          <t>Equilibrium — where do the three scenarios cross?</t>
        </is>
      </c>
    </row>
    <row r="3">
      <c r="B3" s="23" t="inlineStr">
        <is>
          <t>At a given curtailment-window electricity price, what is the EBITDA / GPU / yr for each mode?</t>
        </is>
      </c>
    </row>
    <row r="5">
      <c r="B5" s="24" t="inlineStr">
        <is>
          <t>Curt €/MWh</t>
        </is>
      </c>
      <c r="C5" s="24" t="inlineStr">
        <is>
          <t>EBITDA 24/7</t>
        </is>
      </c>
      <c r="D5" s="24" t="inlineStr">
        <is>
          <t>EBITDA Daytime</t>
        </is>
      </c>
      <c r="E5" s="24" t="inlineStr">
        <is>
          <t>EBITDA Curt-only</t>
        </is>
      </c>
      <c r="G5" s="3" t="inlineStr">
        <is>
          <t>How to read</t>
        </is>
      </c>
    </row>
    <row r="6">
      <c r="B6" s="14" t="n">
        <v>-100</v>
      </c>
      <c r="C6" s="31">
        <f>24*365*Avail*Rev_Firm - (24*365*Avail*Load_kW/1000+(8760-24*365*Avail)*Idle_kW/1000)*Grid_Price - Fixed_Cost_GPU</f>
        <v/>
      </c>
      <c r="D6" s="31">
        <f>Hrs_Daytime*365*Avail*Rev_Firm - (Hrs_Daytime*365*Avail*Load_kW/1000+(8760-Hrs_Daytime*365*Avail)*Idle_kW/1000)*((Grid_Price+PPA_Price)/2) - Fixed_Cost_GPU</f>
        <v/>
      </c>
      <c r="E6" s="31">
        <f>Hrs_Curt*Curt_Days*Avail*Rev_Interr - (Hrs_Curt*Curt_Days*Avail*Load_kW/1000+(8760-Hrs_Curt*Curt_Days*Avail)*Idle_kW/1000)*B6 - Fixed_Cost_GPU</f>
        <v/>
      </c>
      <c r="G6" s="32" t="inlineStr">
        <is>
          <t>The three columns show what each operating mode would earn at every curtailment-window electricity price (rows -100 to +100 €/MWh). The crossover is the price below which curtailment-only beats 24/7. Above that price, leaving GPUs idle most of the day stops paying for itself. The 'matches' rows below extrapolate the exact equilibrium price.</t>
        </is>
      </c>
    </row>
    <row r="7">
      <c r="B7" s="14" t="n">
        <v>-90</v>
      </c>
      <c r="C7" s="31">
        <f>24*365*Avail*Rev_Firm - (24*365*Avail*Load_kW/1000+(8760-24*365*Avail)*Idle_kW/1000)*Grid_Price - Fixed_Cost_GPU</f>
        <v/>
      </c>
      <c r="D7" s="31">
        <f>Hrs_Daytime*365*Avail*Rev_Firm - (Hrs_Daytime*365*Avail*Load_kW/1000+(8760-Hrs_Daytime*365*Avail)*Idle_kW/1000)*((Grid_Price+PPA_Price)/2) - Fixed_Cost_GPU</f>
        <v/>
      </c>
      <c r="E7" s="31">
        <f>Hrs_Curt*Curt_Days*Avail*Rev_Interr - (Hrs_Curt*Curt_Days*Avail*Load_kW/1000+(8760-Hrs_Curt*Curt_Days*Avail)*Idle_kW/1000)*B7 - Fixed_Cost_GPU</f>
        <v/>
      </c>
    </row>
    <row r="8">
      <c r="B8" s="14" t="n">
        <v>-80</v>
      </c>
      <c r="C8" s="31">
        <f>24*365*Avail*Rev_Firm - (24*365*Avail*Load_kW/1000+(8760-24*365*Avail)*Idle_kW/1000)*Grid_Price - Fixed_Cost_GPU</f>
        <v/>
      </c>
      <c r="D8" s="31">
        <f>Hrs_Daytime*365*Avail*Rev_Firm - (Hrs_Daytime*365*Avail*Load_kW/1000+(8760-Hrs_Daytime*365*Avail)*Idle_kW/1000)*((Grid_Price+PPA_Price)/2) - Fixed_Cost_GPU</f>
        <v/>
      </c>
      <c r="E8" s="31">
        <f>Hrs_Curt*Curt_Days*Avail*Rev_Interr - (Hrs_Curt*Curt_Days*Avail*Load_kW/1000+(8760-Hrs_Curt*Curt_Days*Avail)*Idle_kW/1000)*B8 - Fixed_Cost_GPU</f>
        <v/>
      </c>
    </row>
    <row r="9">
      <c r="B9" s="14" t="n">
        <v>-70</v>
      </c>
      <c r="C9" s="31">
        <f>24*365*Avail*Rev_Firm - (24*365*Avail*Load_kW/1000+(8760-24*365*Avail)*Idle_kW/1000)*Grid_Price - Fixed_Cost_GPU</f>
        <v/>
      </c>
      <c r="D9" s="31">
        <f>Hrs_Daytime*365*Avail*Rev_Firm - (Hrs_Daytime*365*Avail*Load_kW/1000+(8760-Hrs_Daytime*365*Avail)*Idle_kW/1000)*((Grid_Price+PPA_Price)/2) - Fixed_Cost_GPU</f>
        <v/>
      </c>
      <c r="E9" s="31">
        <f>Hrs_Curt*Curt_Days*Avail*Rev_Interr - (Hrs_Curt*Curt_Days*Avail*Load_kW/1000+(8760-Hrs_Curt*Curt_Days*Avail)*Idle_kW/1000)*B9 - Fixed_Cost_GPU</f>
        <v/>
      </c>
    </row>
    <row r="10">
      <c r="B10" s="14" t="n">
        <v>-60</v>
      </c>
      <c r="C10" s="31">
        <f>24*365*Avail*Rev_Firm - (24*365*Avail*Load_kW/1000+(8760-24*365*Avail)*Idle_kW/1000)*Grid_Price - Fixed_Cost_GPU</f>
        <v/>
      </c>
      <c r="D10" s="31">
        <f>Hrs_Daytime*365*Avail*Rev_Firm - (Hrs_Daytime*365*Avail*Load_kW/1000+(8760-Hrs_Daytime*365*Avail)*Idle_kW/1000)*((Grid_Price+PPA_Price)/2) - Fixed_Cost_GPU</f>
        <v/>
      </c>
      <c r="E10" s="31">
        <f>Hrs_Curt*Curt_Days*Avail*Rev_Interr - (Hrs_Curt*Curt_Days*Avail*Load_kW/1000+(8760-Hrs_Curt*Curt_Days*Avail)*Idle_kW/1000)*B10 - Fixed_Cost_GPU</f>
        <v/>
      </c>
    </row>
    <row r="11">
      <c r="B11" s="14" t="n">
        <v>-50</v>
      </c>
      <c r="C11" s="31">
        <f>24*365*Avail*Rev_Firm - (24*365*Avail*Load_kW/1000+(8760-24*365*Avail)*Idle_kW/1000)*Grid_Price - Fixed_Cost_GPU</f>
        <v/>
      </c>
      <c r="D11" s="31">
        <f>Hrs_Daytime*365*Avail*Rev_Firm - (Hrs_Daytime*365*Avail*Load_kW/1000+(8760-Hrs_Daytime*365*Avail)*Idle_kW/1000)*((Grid_Price+PPA_Price)/2) - Fixed_Cost_GPU</f>
        <v/>
      </c>
      <c r="E11" s="31">
        <f>Hrs_Curt*Curt_Days*Avail*Rev_Interr - (Hrs_Curt*Curt_Days*Avail*Load_kW/1000+(8760-Hrs_Curt*Curt_Days*Avail)*Idle_kW/1000)*B11 - Fixed_Cost_GPU</f>
        <v/>
      </c>
    </row>
    <row r="12">
      <c r="B12" s="14" t="n">
        <v>-40</v>
      </c>
      <c r="C12" s="31">
        <f>24*365*Avail*Rev_Firm - (24*365*Avail*Load_kW/1000+(8760-24*365*Avail)*Idle_kW/1000)*Grid_Price - Fixed_Cost_GPU</f>
        <v/>
      </c>
      <c r="D12" s="31">
        <f>Hrs_Daytime*365*Avail*Rev_Firm - (Hrs_Daytime*365*Avail*Load_kW/1000+(8760-Hrs_Daytime*365*Avail)*Idle_kW/1000)*((Grid_Price+PPA_Price)/2) - Fixed_Cost_GPU</f>
        <v/>
      </c>
      <c r="E12" s="31">
        <f>Hrs_Curt*Curt_Days*Avail*Rev_Interr - (Hrs_Curt*Curt_Days*Avail*Load_kW/1000+(8760-Hrs_Curt*Curt_Days*Avail)*Idle_kW/1000)*B12 - Fixed_Cost_GPU</f>
        <v/>
      </c>
    </row>
    <row r="13">
      <c r="B13" s="14" t="n">
        <v>-30</v>
      </c>
      <c r="C13" s="31">
        <f>24*365*Avail*Rev_Firm - (24*365*Avail*Load_kW/1000+(8760-24*365*Avail)*Idle_kW/1000)*Grid_Price - Fixed_Cost_GPU</f>
        <v/>
      </c>
      <c r="D13" s="31">
        <f>Hrs_Daytime*365*Avail*Rev_Firm - (Hrs_Daytime*365*Avail*Load_kW/1000+(8760-Hrs_Daytime*365*Avail)*Idle_kW/1000)*((Grid_Price+PPA_Price)/2) - Fixed_Cost_GPU</f>
        <v/>
      </c>
      <c r="E13" s="31">
        <f>Hrs_Curt*Curt_Days*Avail*Rev_Interr - (Hrs_Curt*Curt_Days*Avail*Load_kW/1000+(8760-Hrs_Curt*Curt_Days*Avail)*Idle_kW/1000)*B13 - Fixed_Cost_GPU</f>
        <v/>
      </c>
    </row>
    <row r="14">
      <c r="B14" s="14" t="n">
        <v>-20</v>
      </c>
      <c r="C14" s="31">
        <f>24*365*Avail*Rev_Firm - (24*365*Avail*Load_kW/1000+(8760-24*365*Avail)*Idle_kW/1000)*Grid_Price - Fixed_Cost_GPU</f>
        <v/>
      </c>
      <c r="D14" s="31">
        <f>Hrs_Daytime*365*Avail*Rev_Firm - (Hrs_Daytime*365*Avail*Load_kW/1000+(8760-Hrs_Daytime*365*Avail)*Idle_kW/1000)*((Grid_Price+PPA_Price)/2) - Fixed_Cost_GPU</f>
        <v/>
      </c>
      <c r="E14" s="31">
        <f>Hrs_Curt*Curt_Days*Avail*Rev_Interr - (Hrs_Curt*Curt_Days*Avail*Load_kW/1000+(8760-Hrs_Curt*Curt_Days*Avail)*Idle_kW/1000)*B14 - Fixed_Cost_GPU</f>
        <v/>
      </c>
    </row>
    <row r="15">
      <c r="B15" s="14" t="n">
        <v>-10</v>
      </c>
      <c r="C15" s="31">
        <f>24*365*Avail*Rev_Firm - (24*365*Avail*Load_kW/1000+(8760-24*365*Avail)*Idle_kW/1000)*Grid_Price - Fixed_Cost_GPU</f>
        <v/>
      </c>
      <c r="D15" s="31">
        <f>Hrs_Daytime*365*Avail*Rev_Firm - (Hrs_Daytime*365*Avail*Load_kW/1000+(8760-Hrs_Daytime*365*Avail)*Idle_kW/1000)*((Grid_Price+PPA_Price)/2) - Fixed_Cost_GPU</f>
        <v/>
      </c>
      <c r="E15" s="31">
        <f>Hrs_Curt*Curt_Days*Avail*Rev_Interr - (Hrs_Curt*Curt_Days*Avail*Load_kW/1000+(8760-Hrs_Curt*Curt_Days*Avail)*Idle_kW/1000)*B15 - Fixed_Cost_GPU</f>
        <v/>
      </c>
    </row>
    <row r="16">
      <c r="B16" s="14" t="n">
        <v>0</v>
      </c>
      <c r="C16" s="31">
        <f>24*365*Avail*Rev_Firm - (24*365*Avail*Load_kW/1000+(8760-24*365*Avail)*Idle_kW/1000)*Grid_Price - Fixed_Cost_GPU</f>
        <v/>
      </c>
      <c r="D16" s="31">
        <f>Hrs_Daytime*365*Avail*Rev_Firm - (Hrs_Daytime*365*Avail*Load_kW/1000+(8760-Hrs_Daytime*365*Avail)*Idle_kW/1000)*((Grid_Price+PPA_Price)/2) - Fixed_Cost_GPU</f>
        <v/>
      </c>
      <c r="E16" s="31">
        <f>Hrs_Curt*Curt_Days*Avail*Rev_Interr - (Hrs_Curt*Curt_Days*Avail*Load_kW/1000+(8760-Hrs_Curt*Curt_Days*Avail)*Idle_kW/1000)*B16 - Fixed_Cost_GPU</f>
        <v/>
      </c>
    </row>
    <row r="17">
      <c r="B17" s="14" t="n">
        <v>10</v>
      </c>
      <c r="C17" s="31">
        <f>24*365*Avail*Rev_Firm - (24*365*Avail*Load_kW/1000+(8760-24*365*Avail)*Idle_kW/1000)*Grid_Price - Fixed_Cost_GPU</f>
        <v/>
      </c>
      <c r="D17" s="31">
        <f>Hrs_Daytime*365*Avail*Rev_Firm - (Hrs_Daytime*365*Avail*Load_kW/1000+(8760-Hrs_Daytime*365*Avail)*Idle_kW/1000)*((Grid_Price+PPA_Price)/2) - Fixed_Cost_GPU</f>
        <v/>
      </c>
      <c r="E17" s="31">
        <f>Hrs_Curt*Curt_Days*Avail*Rev_Interr - (Hrs_Curt*Curt_Days*Avail*Load_kW/1000+(8760-Hrs_Curt*Curt_Days*Avail)*Idle_kW/1000)*B17 - Fixed_Cost_GPU</f>
        <v/>
      </c>
    </row>
    <row r="18">
      <c r="B18" s="14" t="n">
        <v>20</v>
      </c>
      <c r="C18" s="31">
        <f>24*365*Avail*Rev_Firm - (24*365*Avail*Load_kW/1000+(8760-24*365*Avail)*Idle_kW/1000)*Grid_Price - Fixed_Cost_GPU</f>
        <v/>
      </c>
      <c r="D18" s="31">
        <f>Hrs_Daytime*365*Avail*Rev_Firm - (Hrs_Daytime*365*Avail*Load_kW/1000+(8760-Hrs_Daytime*365*Avail)*Idle_kW/1000)*((Grid_Price+PPA_Price)/2) - Fixed_Cost_GPU</f>
        <v/>
      </c>
      <c r="E18" s="31">
        <f>Hrs_Curt*Curt_Days*Avail*Rev_Interr - (Hrs_Curt*Curt_Days*Avail*Load_kW/1000+(8760-Hrs_Curt*Curt_Days*Avail)*Idle_kW/1000)*B18 - Fixed_Cost_GPU</f>
        <v/>
      </c>
    </row>
    <row r="19">
      <c r="B19" s="14" t="n">
        <v>30</v>
      </c>
      <c r="C19" s="31">
        <f>24*365*Avail*Rev_Firm - (24*365*Avail*Load_kW/1000+(8760-24*365*Avail)*Idle_kW/1000)*Grid_Price - Fixed_Cost_GPU</f>
        <v/>
      </c>
      <c r="D19" s="31">
        <f>Hrs_Daytime*365*Avail*Rev_Firm - (Hrs_Daytime*365*Avail*Load_kW/1000+(8760-Hrs_Daytime*365*Avail)*Idle_kW/1000)*((Grid_Price+PPA_Price)/2) - Fixed_Cost_GPU</f>
        <v/>
      </c>
      <c r="E19" s="31">
        <f>Hrs_Curt*Curt_Days*Avail*Rev_Interr - (Hrs_Curt*Curt_Days*Avail*Load_kW/1000+(8760-Hrs_Curt*Curt_Days*Avail)*Idle_kW/1000)*B19 - Fixed_Cost_GPU</f>
        <v/>
      </c>
    </row>
    <row r="20">
      <c r="B20" s="14" t="n">
        <v>40</v>
      </c>
      <c r="C20" s="31">
        <f>24*365*Avail*Rev_Firm - (24*365*Avail*Load_kW/1000+(8760-24*365*Avail)*Idle_kW/1000)*Grid_Price - Fixed_Cost_GPU</f>
        <v/>
      </c>
      <c r="D20" s="31">
        <f>Hrs_Daytime*365*Avail*Rev_Firm - (Hrs_Daytime*365*Avail*Load_kW/1000+(8760-Hrs_Daytime*365*Avail)*Idle_kW/1000)*((Grid_Price+PPA_Price)/2) - Fixed_Cost_GPU</f>
        <v/>
      </c>
      <c r="E20" s="31">
        <f>Hrs_Curt*Curt_Days*Avail*Rev_Interr - (Hrs_Curt*Curt_Days*Avail*Load_kW/1000+(8760-Hrs_Curt*Curt_Days*Avail)*Idle_kW/1000)*B20 - Fixed_Cost_GPU</f>
        <v/>
      </c>
    </row>
    <row r="21">
      <c r="B21" s="14" t="n">
        <v>50</v>
      </c>
      <c r="C21" s="31">
        <f>24*365*Avail*Rev_Firm - (24*365*Avail*Load_kW/1000+(8760-24*365*Avail)*Idle_kW/1000)*Grid_Price - Fixed_Cost_GPU</f>
        <v/>
      </c>
      <c r="D21" s="31">
        <f>Hrs_Daytime*365*Avail*Rev_Firm - (Hrs_Daytime*365*Avail*Load_kW/1000+(8760-Hrs_Daytime*365*Avail)*Idle_kW/1000)*((Grid_Price+PPA_Price)/2) - Fixed_Cost_GPU</f>
        <v/>
      </c>
      <c r="E21" s="31">
        <f>Hrs_Curt*Curt_Days*Avail*Rev_Interr - (Hrs_Curt*Curt_Days*Avail*Load_kW/1000+(8760-Hrs_Curt*Curt_Days*Avail)*Idle_kW/1000)*B21 - Fixed_Cost_GPU</f>
        <v/>
      </c>
    </row>
    <row r="22">
      <c r="B22" s="14" t="n">
        <v>60</v>
      </c>
      <c r="C22" s="31">
        <f>24*365*Avail*Rev_Firm - (24*365*Avail*Load_kW/1000+(8760-24*365*Avail)*Idle_kW/1000)*Grid_Price - Fixed_Cost_GPU</f>
        <v/>
      </c>
      <c r="D22" s="31">
        <f>Hrs_Daytime*365*Avail*Rev_Firm - (Hrs_Daytime*365*Avail*Load_kW/1000+(8760-Hrs_Daytime*365*Avail)*Idle_kW/1000)*((Grid_Price+PPA_Price)/2) - Fixed_Cost_GPU</f>
        <v/>
      </c>
      <c r="E22" s="31">
        <f>Hrs_Curt*Curt_Days*Avail*Rev_Interr - (Hrs_Curt*Curt_Days*Avail*Load_kW/1000+(8760-Hrs_Curt*Curt_Days*Avail)*Idle_kW/1000)*B22 - Fixed_Cost_GPU</f>
        <v/>
      </c>
    </row>
    <row r="23">
      <c r="B23" s="14" t="n">
        <v>70</v>
      </c>
      <c r="C23" s="31">
        <f>24*365*Avail*Rev_Firm - (24*365*Avail*Load_kW/1000+(8760-24*365*Avail)*Idle_kW/1000)*Grid_Price - Fixed_Cost_GPU</f>
        <v/>
      </c>
      <c r="D23" s="31">
        <f>Hrs_Daytime*365*Avail*Rev_Firm - (Hrs_Daytime*365*Avail*Load_kW/1000+(8760-Hrs_Daytime*365*Avail)*Idle_kW/1000)*((Grid_Price+PPA_Price)/2) - Fixed_Cost_GPU</f>
        <v/>
      </c>
      <c r="E23" s="31">
        <f>Hrs_Curt*Curt_Days*Avail*Rev_Interr - (Hrs_Curt*Curt_Days*Avail*Load_kW/1000+(8760-Hrs_Curt*Curt_Days*Avail)*Idle_kW/1000)*B23 - Fixed_Cost_GPU</f>
        <v/>
      </c>
    </row>
    <row r="24">
      <c r="B24" s="14" t="n">
        <v>80</v>
      </c>
      <c r="C24" s="31">
        <f>24*365*Avail*Rev_Firm - (24*365*Avail*Load_kW/1000+(8760-24*365*Avail)*Idle_kW/1000)*Grid_Price - Fixed_Cost_GPU</f>
        <v/>
      </c>
      <c r="D24" s="31">
        <f>Hrs_Daytime*365*Avail*Rev_Firm - (Hrs_Daytime*365*Avail*Load_kW/1000+(8760-Hrs_Daytime*365*Avail)*Idle_kW/1000)*((Grid_Price+PPA_Price)/2) - Fixed_Cost_GPU</f>
        <v/>
      </c>
      <c r="E24" s="31">
        <f>Hrs_Curt*Curt_Days*Avail*Rev_Interr - (Hrs_Curt*Curt_Days*Avail*Load_kW/1000+(8760-Hrs_Curt*Curt_Days*Avail)*Idle_kW/1000)*B24 - Fixed_Cost_GPU</f>
        <v/>
      </c>
    </row>
    <row r="25">
      <c r="B25" s="14" t="n">
        <v>90</v>
      </c>
      <c r="C25" s="31">
        <f>24*365*Avail*Rev_Firm - (24*365*Avail*Load_kW/1000+(8760-24*365*Avail)*Idle_kW/1000)*Grid_Price - Fixed_Cost_GPU</f>
        <v/>
      </c>
      <c r="D25" s="31">
        <f>Hrs_Daytime*365*Avail*Rev_Firm - (Hrs_Daytime*365*Avail*Load_kW/1000+(8760-Hrs_Daytime*365*Avail)*Idle_kW/1000)*((Grid_Price+PPA_Price)/2) - Fixed_Cost_GPU</f>
        <v/>
      </c>
      <c r="E25" s="31">
        <f>Hrs_Curt*Curt_Days*Avail*Rev_Interr - (Hrs_Curt*Curt_Days*Avail*Load_kW/1000+(8760-Hrs_Curt*Curt_Days*Avail)*Idle_kW/1000)*B25 - Fixed_Cost_GPU</f>
        <v/>
      </c>
    </row>
    <row r="26">
      <c r="B26" s="14" t="n">
        <v>100</v>
      </c>
      <c r="C26" s="31">
        <f>24*365*Avail*Rev_Firm - (24*365*Avail*Load_kW/1000+(8760-24*365*Avail)*Idle_kW/1000)*Grid_Price - Fixed_Cost_GPU</f>
        <v/>
      </c>
      <c r="D26" s="31">
        <f>Hrs_Daytime*365*Avail*Rev_Firm - (Hrs_Daytime*365*Avail*Load_kW/1000+(8760-Hrs_Daytime*365*Avail)*Idle_kW/1000)*((Grid_Price+PPA_Price)/2) - Fixed_Cost_GPU</f>
        <v/>
      </c>
      <c r="E26" s="31">
        <f>Hrs_Curt*Curt_Days*Avail*Rev_Interr - (Hrs_Curt*Curt_Days*Avail*Load_kW/1000+(8760-Hrs_Curt*Curt_Days*Avail)*Idle_kW/1000)*B26 - Fixed_Cost_GPU</f>
        <v/>
      </c>
    </row>
    <row r="29">
      <c r="B29" s="29" t="inlineStr">
        <is>
          <t>Curt-only matches 24/7 at curt €/MWh ≈</t>
        </is>
      </c>
      <c r="E29" s="34">
        <f>IFERROR(FORECAST(0, B6:B26, INDEX(E6:E26-C6:C26,0)), "n/a")</f>
        <v/>
      </c>
    </row>
    <row r="30">
      <c r="B30" s="29" t="inlineStr">
        <is>
          <t>Curt-only matches Daytime at curt €/MWh ≈</t>
        </is>
      </c>
      <c r="E30" s="34">
        <f>IFERROR(FORECAST(0, B6:B26, INDEX(E6:E26-D6:D26,0)), "n/a")</f>
        <v/>
      </c>
    </row>
  </sheetData>
  <mergeCells count="5">
    <mergeCell ref="B3:G3"/>
    <mergeCell ref="B2:G2"/>
    <mergeCell ref="G6:G18"/>
    <mergeCell ref="B30:D30"/>
    <mergeCell ref="B29:D29"/>
  </mergeCells>
  <conditionalFormatting sqref="C6:E26">
    <cfRule type="colorScale" priority="1">
      <colorScale>
        <cfvo type="min"/>
        <cfvo type="num" val="0"/>
        <cfvo type="max"/>
        <color rgb="00F8696B"/>
        <color rgb="00FFEB84"/>
        <color rgb="0063BE7B"/>
      </colorScale>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B2:N25"/>
  <sheetViews>
    <sheetView showGridLines="0" workbookViewId="0">
      <selection activeCell="A1" sqref="A1"/>
    </sheetView>
  </sheetViews>
  <sheetFormatPr baseColWidth="8" defaultRowHeight="15"/>
  <cols>
    <col width="3"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2">
      <c r="B2" s="12" t="inlineStr">
        <is>
          <t>Two-way sensitivity — what swings the answer?</t>
        </is>
      </c>
    </row>
    <row r="3">
      <c r="B3" s="23" t="inlineStr">
        <is>
          <t>Table 1: EBITDA / GPU / yr (curtailment-only) as a function of curt €/MWh × curtailment hours per day.</t>
        </is>
      </c>
    </row>
    <row r="5">
      <c r="B5" s="13" t="inlineStr">
        <is>
          <t>Curt €/MWh ↓ \ Curt hrs/day →</t>
        </is>
      </c>
      <c r="C5" s="43" t="n">
        <v>2</v>
      </c>
      <c r="D5" s="43" t="n">
        <v>3</v>
      </c>
      <c r="E5" s="43" t="n">
        <v>4</v>
      </c>
      <c r="F5" s="43" t="n">
        <v>5</v>
      </c>
      <c r="G5" s="43" t="n">
        <v>6</v>
      </c>
      <c r="H5" s="43" t="n">
        <v>7</v>
      </c>
      <c r="I5" s="43" t="n">
        <v>8</v>
      </c>
    </row>
    <row r="6">
      <c r="B6" s="44" t="n">
        <v>-60</v>
      </c>
      <c r="C6" s="31">
        <f>2*Curt_Days*Avail*Rev_Interr - (2*Curt_Days*Avail*Load_kW/1000+(8760-2*Curt_Days*Avail)*Idle_kW/1000)*-60 - Fixed_Cost_GPU</f>
        <v/>
      </c>
      <c r="D6" s="31">
        <f>3*Curt_Days*Avail*Rev_Interr - (3*Curt_Days*Avail*Load_kW/1000+(8760-3*Curt_Days*Avail)*Idle_kW/1000)*-60 - Fixed_Cost_GPU</f>
        <v/>
      </c>
      <c r="E6" s="31">
        <f>4*Curt_Days*Avail*Rev_Interr - (4*Curt_Days*Avail*Load_kW/1000+(8760-4*Curt_Days*Avail)*Idle_kW/1000)*-60 - Fixed_Cost_GPU</f>
        <v/>
      </c>
      <c r="F6" s="31">
        <f>5*Curt_Days*Avail*Rev_Interr - (5*Curt_Days*Avail*Load_kW/1000+(8760-5*Curt_Days*Avail)*Idle_kW/1000)*-60 - Fixed_Cost_GPU</f>
        <v/>
      </c>
      <c r="G6" s="31">
        <f>6*Curt_Days*Avail*Rev_Interr - (6*Curt_Days*Avail*Load_kW/1000+(8760-6*Curt_Days*Avail)*Idle_kW/1000)*-60 - Fixed_Cost_GPU</f>
        <v/>
      </c>
      <c r="H6" s="31">
        <f>7*Curt_Days*Avail*Rev_Interr - (7*Curt_Days*Avail*Load_kW/1000+(8760-7*Curt_Days*Avail)*Idle_kW/1000)*-60 - Fixed_Cost_GPU</f>
        <v/>
      </c>
      <c r="I6" s="31">
        <f>8*Curt_Days*Avail*Rev_Interr - (8*Curt_Days*Avail*Load_kW/1000+(8760-8*Curt_Days*Avail)*Idle_kW/1000)*-60 - Fixed_Cost_GPU</f>
        <v/>
      </c>
    </row>
    <row r="7">
      <c r="B7" s="44" t="n">
        <v>-40</v>
      </c>
      <c r="C7" s="31">
        <f>2*Curt_Days*Avail*Rev_Interr - (2*Curt_Days*Avail*Load_kW/1000+(8760-2*Curt_Days*Avail)*Idle_kW/1000)*-40 - Fixed_Cost_GPU</f>
        <v/>
      </c>
      <c r="D7" s="31">
        <f>3*Curt_Days*Avail*Rev_Interr - (3*Curt_Days*Avail*Load_kW/1000+(8760-3*Curt_Days*Avail)*Idle_kW/1000)*-40 - Fixed_Cost_GPU</f>
        <v/>
      </c>
      <c r="E7" s="31">
        <f>4*Curt_Days*Avail*Rev_Interr - (4*Curt_Days*Avail*Load_kW/1000+(8760-4*Curt_Days*Avail)*Idle_kW/1000)*-40 - Fixed_Cost_GPU</f>
        <v/>
      </c>
      <c r="F7" s="31">
        <f>5*Curt_Days*Avail*Rev_Interr - (5*Curt_Days*Avail*Load_kW/1000+(8760-5*Curt_Days*Avail)*Idle_kW/1000)*-40 - Fixed_Cost_GPU</f>
        <v/>
      </c>
      <c r="G7" s="31">
        <f>6*Curt_Days*Avail*Rev_Interr - (6*Curt_Days*Avail*Load_kW/1000+(8760-6*Curt_Days*Avail)*Idle_kW/1000)*-40 - Fixed_Cost_GPU</f>
        <v/>
      </c>
      <c r="H7" s="31">
        <f>7*Curt_Days*Avail*Rev_Interr - (7*Curt_Days*Avail*Load_kW/1000+(8760-7*Curt_Days*Avail)*Idle_kW/1000)*-40 - Fixed_Cost_GPU</f>
        <v/>
      </c>
      <c r="I7" s="31">
        <f>8*Curt_Days*Avail*Rev_Interr - (8*Curt_Days*Avail*Load_kW/1000+(8760-8*Curt_Days*Avail)*Idle_kW/1000)*-40 - Fixed_Cost_GPU</f>
        <v/>
      </c>
    </row>
    <row r="8">
      <c r="B8" s="44" t="n">
        <v>-20</v>
      </c>
      <c r="C8" s="31">
        <f>2*Curt_Days*Avail*Rev_Interr - (2*Curt_Days*Avail*Load_kW/1000+(8760-2*Curt_Days*Avail)*Idle_kW/1000)*-20 - Fixed_Cost_GPU</f>
        <v/>
      </c>
      <c r="D8" s="31">
        <f>3*Curt_Days*Avail*Rev_Interr - (3*Curt_Days*Avail*Load_kW/1000+(8760-3*Curt_Days*Avail)*Idle_kW/1000)*-20 - Fixed_Cost_GPU</f>
        <v/>
      </c>
      <c r="E8" s="31">
        <f>4*Curt_Days*Avail*Rev_Interr - (4*Curt_Days*Avail*Load_kW/1000+(8760-4*Curt_Days*Avail)*Idle_kW/1000)*-20 - Fixed_Cost_GPU</f>
        <v/>
      </c>
      <c r="F8" s="31">
        <f>5*Curt_Days*Avail*Rev_Interr - (5*Curt_Days*Avail*Load_kW/1000+(8760-5*Curt_Days*Avail)*Idle_kW/1000)*-20 - Fixed_Cost_GPU</f>
        <v/>
      </c>
      <c r="G8" s="31">
        <f>6*Curt_Days*Avail*Rev_Interr - (6*Curt_Days*Avail*Load_kW/1000+(8760-6*Curt_Days*Avail)*Idle_kW/1000)*-20 - Fixed_Cost_GPU</f>
        <v/>
      </c>
      <c r="H8" s="31">
        <f>7*Curt_Days*Avail*Rev_Interr - (7*Curt_Days*Avail*Load_kW/1000+(8760-7*Curt_Days*Avail)*Idle_kW/1000)*-20 - Fixed_Cost_GPU</f>
        <v/>
      </c>
      <c r="I8" s="31">
        <f>8*Curt_Days*Avail*Rev_Interr - (8*Curt_Days*Avail*Load_kW/1000+(8760-8*Curt_Days*Avail)*Idle_kW/1000)*-20 - Fixed_Cost_GPU</f>
        <v/>
      </c>
    </row>
    <row r="9">
      <c r="B9" s="44" t="n">
        <v>-10</v>
      </c>
      <c r="C9" s="31">
        <f>2*Curt_Days*Avail*Rev_Interr - (2*Curt_Days*Avail*Load_kW/1000+(8760-2*Curt_Days*Avail)*Idle_kW/1000)*-10 - Fixed_Cost_GPU</f>
        <v/>
      </c>
      <c r="D9" s="31">
        <f>3*Curt_Days*Avail*Rev_Interr - (3*Curt_Days*Avail*Load_kW/1000+(8760-3*Curt_Days*Avail)*Idle_kW/1000)*-10 - Fixed_Cost_GPU</f>
        <v/>
      </c>
      <c r="E9" s="31">
        <f>4*Curt_Days*Avail*Rev_Interr - (4*Curt_Days*Avail*Load_kW/1000+(8760-4*Curt_Days*Avail)*Idle_kW/1000)*-10 - Fixed_Cost_GPU</f>
        <v/>
      </c>
      <c r="F9" s="31">
        <f>5*Curt_Days*Avail*Rev_Interr - (5*Curt_Days*Avail*Load_kW/1000+(8760-5*Curt_Days*Avail)*Idle_kW/1000)*-10 - Fixed_Cost_GPU</f>
        <v/>
      </c>
      <c r="G9" s="31">
        <f>6*Curt_Days*Avail*Rev_Interr - (6*Curt_Days*Avail*Load_kW/1000+(8760-6*Curt_Days*Avail)*Idle_kW/1000)*-10 - Fixed_Cost_GPU</f>
        <v/>
      </c>
      <c r="H9" s="31">
        <f>7*Curt_Days*Avail*Rev_Interr - (7*Curt_Days*Avail*Load_kW/1000+(8760-7*Curt_Days*Avail)*Idle_kW/1000)*-10 - Fixed_Cost_GPU</f>
        <v/>
      </c>
      <c r="I9" s="31">
        <f>8*Curt_Days*Avail*Rev_Interr - (8*Curt_Days*Avail*Load_kW/1000+(8760-8*Curt_Days*Avail)*Idle_kW/1000)*-10 - Fixed_Cost_GPU</f>
        <v/>
      </c>
    </row>
    <row r="10">
      <c r="B10" s="44" t="n">
        <v>0</v>
      </c>
      <c r="C10" s="31">
        <f>2*Curt_Days*Avail*Rev_Interr - (2*Curt_Days*Avail*Load_kW/1000+(8760-2*Curt_Days*Avail)*Idle_kW/1000)*0 - Fixed_Cost_GPU</f>
        <v/>
      </c>
      <c r="D10" s="31">
        <f>3*Curt_Days*Avail*Rev_Interr - (3*Curt_Days*Avail*Load_kW/1000+(8760-3*Curt_Days*Avail)*Idle_kW/1000)*0 - Fixed_Cost_GPU</f>
        <v/>
      </c>
      <c r="E10" s="31">
        <f>4*Curt_Days*Avail*Rev_Interr - (4*Curt_Days*Avail*Load_kW/1000+(8760-4*Curt_Days*Avail)*Idle_kW/1000)*0 - Fixed_Cost_GPU</f>
        <v/>
      </c>
      <c r="F10" s="31">
        <f>5*Curt_Days*Avail*Rev_Interr - (5*Curt_Days*Avail*Load_kW/1000+(8760-5*Curt_Days*Avail)*Idle_kW/1000)*0 - Fixed_Cost_GPU</f>
        <v/>
      </c>
      <c r="G10" s="31">
        <f>6*Curt_Days*Avail*Rev_Interr - (6*Curt_Days*Avail*Load_kW/1000+(8760-6*Curt_Days*Avail)*Idle_kW/1000)*0 - Fixed_Cost_GPU</f>
        <v/>
      </c>
      <c r="H10" s="31">
        <f>7*Curt_Days*Avail*Rev_Interr - (7*Curt_Days*Avail*Load_kW/1000+(8760-7*Curt_Days*Avail)*Idle_kW/1000)*0 - Fixed_Cost_GPU</f>
        <v/>
      </c>
      <c r="I10" s="31">
        <f>8*Curt_Days*Avail*Rev_Interr - (8*Curt_Days*Avail*Load_kW/1000+(8760-8*Curt_Days*Avail)*Idle_kW/1000)*0 - Fixed_Cost_GPU</f>
        <v/>
      </c>
    </row>
    <row r="11">
      <c r="B11" s="44" t="n">
        <v>10</v>
      </c>
      <c r="C11" s="31">
        <f>2*Curt_Days*Avail*Rev_Interr - (2*Curt_Days*Avail*Load_kW/1000+(8760-2*Curt_Days*Avail)*Idle_kW/1000)*10 - Fixed_Cost_GPU</f>
        <v/>
      </c>
      <c r="D11" s="31">
        <f>3*Curt_Days*Avail*Rev_Interr - (3*Curt_Days*Avail*Load_kW/1000+(8760-3*Curt_Days*Avail)*Idle_kW/1000)*10 - Fixed_Cost_GPU</f>
        <v/>
      </c>
      <c r="E11" s="31">
        <f>4*Curt_Days*Avail*Rev_Interr - (4*Curt_Days*Avail*Load_kW/1000+(8760-4*Curt_Days*Avail)*Idle_kW/1000)*10 - Fixed_Cost_GPU</f>
        <v/>
      </c>
      <c r="F11" s="31">
        <f>5*Curt_Days*Avail*Rev_Interr - (5*Curt_Days*Avail*Load_kW/1000+(8760-5*Curt_Days*Avail)*Idle_kW/1000)*10 - Fixed_Cost_GPU</f>
        <v/>
      </c>
      <c r="G11" s="31">
        <f>6*Curt_Days*Avail*Rev_Interr - (6*Curt_Days*Avail*Load_kW/1000+(8760-6*Curt_Days*Avail)*Idle_kW/1000)*10 - Fixed_Cost_GPU</f>
        <v/>
      </c>
      <c r="H11" s="31">
        <f>7*Curt_Days*Avail*Rev_Interr - (7*Curt_Days*Avail*Load_kW/1000+(8760-7*Curt_Days*Avail)*Idle_kW/1000)*10 - Fixed_Cost_GPU</f>
        <v/>
      </c>
      <c r="I11" s="31">
        <f>8*Curt_Days*Avail*Rev_Interr - (8*Curt_Days*Avail*Load_kW/1000+(8760-8*Curt_Days*Avail)*Idle_kW/1000)*10 - Fixed_Cost_GPU</f>
        <v/>
      </c>
    </row>
    <row r="12">
      <c r="B12" s="44" t="n">
        <v>20</v>
      </c>
      <c r="C12" s="31">
        <f>2*Curt_Days*Avail*Rev_Interr - (2*Curt_Days*Avail*Load_kW/1000+(8760-2*Curt_Days*Avail)*Idle_kW/1000)*20 - Fixed_Cost_GPU</f>
        <v/>
      </c>
      <c r="D12" s="31">
        <f>3*Curt_Days*Avail*Rev_Interr - (3*Curt_Days*Avail*Load_kW/1000+(8760-3*Curt_Days*Avail)*Idle_kW/1000)*20 - Fixed_Cost_GPU</f>
        <v/>
      </c>
      <c r="E12" s="31">
        <f>4*Curt_Days*Avail*Rev_Interr - (4*Curt_Days*Avail*Load_kW/1000+(8760-4*Curt_Days*Avail)*Idle_kW/1000)*20 - Fixed_Cost_GPU</f>
        <v/>
      </c>
      <c r="F12" s="31">
        <f>5*Curt_Days*Avail*Rev_Interr - (5*Curt_Days*Avail*Load_kW/1000+(8760-5*Curt_Days*Avail)*Idle_kW/1000)*20 - Fixed_Cost_GPU</f>
        <v/>
      </c>
      <c r="G12" s="31">
        <f>6*Curt_Days*Avail*Rev_Interr - (6*Curt_Days*Avail*Load_kW/1000+(8760-6*Curt_Days*Avail)*Idle_kW/1000)*20 - Fixed_Cost_GPU</f>
        <v/>
      </c>
      <c r="H12" s="31">
        <f>7*Curt_Days*Avail*Rev_Interr - (7*Curt_Days*Avail*Load_kW/1000+(8760-7*Curt_Days*Avail)*Idle_kW/1000)*20 - Fixed_Cost_GPU</f>
        <v/>
      </c>
      <c r="I12" s="31">
        <f>8*Curt_Days*Avail*Rev_Interr - (8*Curt_Days*Avail*Load_kW/1000+(8760-8*Curt_Days*Avail)*Idle_kW/1000)*20 - Fixed_Cost_GPU</f>
        <v/>
      </c>
    </row>
    <row r="13">
      <c r="B13" s="44" t="n">
        <v>40</v>
      </c>
      <c r="C13" s="31">
        <f>2*Curt_Days*Avail*Rev_Interr - (2*Curt_Days*Avail*Load_kW/1000+(8760-2*Curt_Days*Avail)*Idle_kW/1000)*40 - Fixed_Cost_GPU</f>
        <v/>
      </c>
      <c r="D13" s="31">
        <f>3*Curt_Days*Avail*Rev_Interr - (3*Curt_Days*Avail*Load_kW/1000+(8760-3*Curt_Days*Avail)*Idle_kW/1000)*40 - Fixed_Cost_GPU</f>
        <v/>
      </c>
      <c r="E13" s="31">
        <f>4*Curt_Days*Avail*Rev_Interr - (4*Curt_Days*Avail*Load_kW/1000+(8760-4*Curt_Days*Avail)*Idle_kW/1000)*40 - Fixed_Cost_GPU</f>
        <v/>
      </c>
      <c r="F13" s="31">
        <f>5*Curt_Days*Avail*Rev_Interr - (5*Curt_Days*Avail*Load_kW/1000+(8760-5*Curt_Days*Avail)*Idle_kW/1000)*40 - Fixed_Cost_GPU</f>
        <v/>
      </c>
      <c r="G13" s="31">
        <f>6*Curt_Days*Avail*Rev_Interr - (6*Curt_Days*Avail*Load_kW/1000+(8760-6*Curt_Days*Avail)*Idle_kW/1000)*40 - Fixed_Cost_GPU</f>
        <v/>
      </c>
      <c r="H13" s="31">
        <f>7*Curt_Days*Avail*Rev_Interr - (7*Curt_Days*Avail*Load_kW/1000+(8760-7*Curt_Days*Avail)*Idle_kW/1000)*40 - Fixed_Cost_GPU</f>
        <v/>
      </c>
      <c r="I13" s="31">
        <f>8*Curt_Days*Avail*Rev_Interr - (8*Curt_Days*Avail*Load_kW/1000+(8760-8*Curt_Days*Avail)*Idle_kW/1000)*40 - Fixed_Cost_GPU</f>
        <v/>
      </c>
    </row>
    <row r="14">
      <c r="B14" s="44" t="n">
        <v>60</v>
      </c>
      <c r="C14" s="31">
        <f>2*Curt_Days*Avail*Rev_Interr - (2*Curt_Days*Avail*Load_kW/1000+(8760-2*Curt_Days*Avail)*Idle_kW/1000)*60 - Fixed_Cost_GPU</f>
        <v/>
      </c>
      <c r="D14" s="31">
        <f>3*Curt_Days*Avail*Rev_Interr - (3*Curt_Days*Avail*Load_kW/1000+(8760-3*Curt_Days*Avail)*Idle_kW/1000)*60 - Fixed_Cost_GPU</f>
        <v/>
      </c>
      <c r="E14" s="31">
        <f>4*Curt_Days*Avail*Rev_Interr - (4*Curt_Days*Avail*Load_kW/1000+(8760-4*Curt_Days*Avail)*Idle_kW/1000)*60 - Fixed_Cost_GPU</f>
        <v/>
      </c>
      <c r="F14" s="31">
        <f>5*Curt_Days*Avail*Rev_Interr - (5*Curt_Days*Avail*Load_kW/1000+(8760-5*Curt_Days*Avail)*Idle_kW/1000)*60 - Fixed_Cost_GPU</f>
        <v/>
      </c>
      <c r="G14" s="31">
        <f>6*Curt_Days*Avail*Rev_Interr - (6*Curt_Days*Avail*Load_kW/1000+(8760-6*Curt_Days*Avail)*Idle_kW/1000)*60 - Fixed_Cost_GPU</f>
        <v/>
      </c>
      <c r="H14" s="31">
        <f>7*Curt_Days*Avail*Rev_Interr - (7*Curt_Days*Avail*Load_kW/1000+(8760-7*Curt_Days*Avail)*Idle_kW/1000)*60 - Fixed_Cost_GPU</f>
        <v/>
      </c>
      <c r="I14" s="31">
        <f>8*Curt_Days*Avail*Rev_Interr - (8*Curt_Days*Avail*Load_kW/1000+(8760-8*Curt_Days*Avail)*Idle_kW/1000)*60 - Fixed_Cost_GPU</f>
        <v/>
      </c>
    </row>
    <row r="17">
      <c r="B17" s="23" t="inlineStr">
        <is>
          <t>Table 2: EBITDA / GPU / yr (24/7 mode) as a function of GPU capex × realised hourly rate.</t>
        </is>
      </c>
    </row>
    <row r="18">
      <c r="B18" s="13" t="inlineStr">
        <is>
          <t>Capex (k€) ↓ \ €/h →</t>
        </is>
      </c>
      <c r="C18" s="45" t="n">
        <v>0.8</v>
      </c>
      <c r="D18" s="45" t="n">
        <v>1.2</v>
      </c>
      <c r="E18" s="45" t="n">
        <v>1.6</v>
      </c>
      <c r="F18" s="45" t="n">
        <v>2</v>
      </c>
      <c r="G18" s="45" t="n">
        <v>2.4</v>
      </c>
      <c r="H18" s="45" t="n">
        <v>3</v>
      </c>
      <c r="I18" s="45" t="n">
        <v>3.6</v>
      </c>
      <c r="J18" s="45" t="n">
        <v>4.5</v>
      </c>
    </row>
    <row r="19">
      <c r="B19" s="46" t="n">
        <v>18000</v>
      </c>
      <c r="C19" s="31">
        <f>24*365*Avail*0.8*Util - (24*365*Avail*Load_kW/1000+(8760-24*365*Avail)*Idle_kW/1000)*Grid_Price - ((18000+Rack_Capex+DC_Capex)*(1-GPU_Salvage)/GPU_Life + (18000+Rack_Capex+DC_Capex)*WACC*0.5 + OandM + GridFee_per_kWyr*(GPU_Power_Load_W+Aux_Power_W)/1000*PUE)</f>
        <v/>
      </c>
      <c r="D19" s="31">
        <f>24*365*Avail*1.2*Util - (24*365*Avail*Load_kW/1000+(8760-24*365*Avail)*Idle_kW/1000)*Grid_Price - ((18000+Rack_Capex+DC_Capex)*(1-GPU_Salvage)/GPU_Life + (18000+Rack_Capex+DC_Capex)*WACC*0.5 + OandM + GridFee_per_kWyr*(GPU_Power_Load_W+Aux_Power_W)/1000*PUE)</f>
        <v/>
      </c>
      <c r="E19" s="31">
        <f>24*365*Avail*1.6*Util - (24*365*Avail*Load_kW/1000+(8760-24*365*Avail)*Idle_kW/1000)*Grid_Price - ((18000+Rack_Capex+DC_Capex)*(1-GPU_Salvage)/GPU_Life + (18000+Rack_Capex+DC_Capex)*WACC*0.5 + OandM + GridFee_per_kWyr*(GPU_Power_Load_W+Aux_Power_W)/1000*PUE)</f>
        <v/>
      </c>
      <c r="F19" s="31">
        <f>24*365*Avail*2.0*Util - (24*365*Avail*Load_kW/1000+(8760-24*365*Avail)*Idle_kW/1000)*Grid_Price - ((18000+Rack_Capex+DC_Capex)*(1-GPU_Salvage)/GPU_Life + (18000+Rack_Capex+DC_Capex)*WACC*0.5 + OandM + GridFee_per_kWyr*(GPU_Power_Load_W+Aux_Power_W)/1000*PUE)</f>
        <v/>
      </c>
      <c r="G19" s="31">
        <f>24*365*Avail*2.4*Util - (24*365*Avail*Load_kW/1000+(8760-24*365*Avail)*Idle_kW/1000)*Grid_Price - ((18000+Rack_Capex+DC_Capex)*(1-GPU_Salvage)/GPU_Life + (18000+Rack_Capex+DC_Capex)*WACC*0.5 + OandM + GridFee_per_kWyr*(GPU_Power_Load_W+Aux_Power_W)/1000*PUE)</f>
        <v/>
      </c>
      <c r="H19" s="31">
        <f>24*365*Avail*3.0*Util - (24*365*Avail*Load_kW/1000+(8760-24*365*Avail)*Idle_kW/1000)*Grid_Price - ((18000+Rack_Capex+DC_Capex)*(1-GPU_Salvage)/GPU_Life + (18000+Rack_Capex+DC_Capex)*WACC*0.5 + OandM + GridFee_per_kWyr*(GPU_Power_Load_W+Aux_Power_W)/1000*PUE)</f>
        <v/>
      </c>
      <c r="I19" s="31">
        <f>24*365*Avail*3.6*Util - (24*365*Avail*Load_kW/1000+(8760-24*365*Avail)*Idle_kW/1000)*Grid_Price - ((18000+Rack_Capex+DC_Capex)*(1-GPU_Salvage)/GPU_Life + (18000+Rack_Capex+DC_Capex)*WACC*0.5 + OandM + GridFee_per_kWyr*(GPU_Power_Load_W+Aux_Power_W)/1000*PUE)</f>
        <v/>
      </c>
      <c r="J19" s="31">
        <f>24*365*Avail*4.5*Util - (24*365*Avail*Load_kW/1000+(8760-24*365*Avail)*Idle_kW/1000)*Grid_Price - ((18000+Rack_Capex+DC_Capex)*(1-GPU_Salvage)/GPU_Life + (18000+Rack_Capex+DC_Capex)*WACC*0.5 + OandM + GridFee_per_kWyr*(GPU_Power_Load_W+Aux_Power_W)/1000*PUE)</f>
        <v/>
      </c>
    </row>
    <row r="20">
      <c r="B20" s="46" t="n">
        <v>24000</v>
      </c>
      <c r="C20" s="31">
        <f>24*365*Avail*0.8*Util - (24*365*Avail*Load_kW/1000+(8760-24*365*Avail)*Idle_kW/1000)*Grid_Price - ((24000+Rack_Capex+DC_Capex)*(1-GPU_Salvage)/GPU_Life + (24000+Rack_Capex+DC_Capex)*WACC*0.5 + OandM + GridFee_per_kWyr*(GPU_Power_Load_W+Aux_Power_W)/1000*PUE)</f>
        <v/>
      </c>
      <c r="D20" s="31">
        <f>24*365*Avail*1.2*Util - (24*365*Avail*Load_kW/1000+(8760-24*365*Avail)*Idle_kW/1000)*Grid_Price - ((24000+Rack_Capex+DC_Capex)*(1-GPU_Salvage)/GPU_Life + (24000+Rack_Capex+DC_Capex)*WACC*0.5 + OandM + GridFee_per_kWyr*(GPU_Power_Load_W+Aux_Power_W)/1000*PUE)</f>
        <v/>
      </c>
      <c r="E20" s="31">
        <f>24*365*Avail*1.6*Util - (24*365*Avail*Load_kW/1000+(8760-24*365*Avail)*Idle_kW/1000)*Grid_Price - ((24000+Rack_Capex+DC_Capex)*(1-GPU_Salvage)/GPU_Life + (24000+Rack_Capex+DC_Capex)*WACC*0.5 + OandM + GridFee_per_kWyr*(GPU_Power_Load_W+Aux_Power_W)/1000*PUE)</f>
        <v/>
      </c>
      <c r="F20" s="31">
        <f>24*365*Avail*2.0*Util - (24*365*Avail*Load_kW/1000+(8760-24*365*Avail)*Idle_kW/1000)*Grid_Price - ((24000+Rack_Capex+DC_Capex)*(1-GPU_Salvage)/GPU_Life + (24000+Rack_Capex+DC_Capex)*WACC*0.5 + OandM + GridFee_per_kWyr*(GPU_Power_Load_W+Aux_Power_W)/1000*PUE)</f>
        <v/>
      </c>
      <c r="G20" s="31">
        <f>24*365*Avail*2.4*Util - (24*365*Avail*Load_kW/1000+(8760-24*365*Avail)*Idle_kW/1000)*Grid_Price - ((24000+Rack_Capex+DC_Capex)*(1-GPU_Salvage)/GPU_Life + (24000+Rack_Capex+DC_Capex)*WACC*0.5 + OandM + GridFee_per_kWyr*(GPU_Power_Load_W+Aux_Power_W)/1000*PUE)</f>
        <v/>
      </c>
      <c r="H20" s="31">
        <f>24*365*Avail*3.0*Util - (24*365*Avail*Load_kW/1000+(8760-24*365*Avail)*Idle_kW/1000)*Grid_Price - ((24000+Rack_Capex+DC_Capex)*(1-GPU_Salvage)/GPU_Life + (24000+Rack_Capex+DC_Capex)*WACC*0.5 + OandM + GridFee_per_kWyr*(GPU_Power_Load_W+Aux_Power_W)/1000*PUE)</f>
        <v/>
      </c>
      <c r="I20" s="31">
        <f>24*365*Avail*3.6*Util - (24*365*Avail*Load_kW/1000+(8760-24*365*Avail)*Idle_kW/1000)*Grid_Price - ((24000+Rack_Capex+DC_Capex)*(1-GPU_Salvage)/GPU_Life + (24000+Rack_Capex+DC_Capex)*WACC*0.5 + OandM + GridFee_per_kWyr*(GPU_Power_Load_W+Aux_Power_W)/1000*PUE)</f>
        <v/>
      </c>
      <c r="J20" s="31">
        <f>24*365*Avail*4.5*Util - (24*365*Avail*Load_kW/1000+(8760-24*365*Avail)*Idle_kW/1000)*Grid_Price - ((24000+Rack_Capex+DC_Capex)*(1-GPU_Salvage)/GPU_Life + (24000+Rack_Capex+DC_Capex)*WACC*0.5 + OandM + GridFee_per_kWyr*(GPU_Power_Load_W+Aux_Power_W)/1000*PUE)</f>
        <v/>
      </c>
    </row>
    <row r="21">
      <c r="B21" s="46" t="n">
        <v>30000</v>
      </c>
      <c r="C21" s="31">
        <f>24*365*Avail*0.8*Util - (24*365*Avail*Load_kW/1000+(8760-24*365*Avail)*Idle_kW/1000)*Grid_Price - ((30000+Rack_Capex+DC_Capex)*(1-GPU_Salvage)/GPU_Life + (30000+Rack_Capex+DC_Capex)*WACC*0.5 + OandM + GridFee_per_kWyr*(GPU_Power_Load_W+Aux_Power_W)/1000*PUE)</f>
        <v/>
      </c>
      <c r="D21" s="31">
        <f>24*365*Avail*1.2*Util - (24*365*Avail*Load_kW/1000+(8760-24*365*Avail)*Idle_kW/1000)*Grid_Price - ((30000+Rack_Capex+DC_Capex)*(1-GPU_Salvage)/GPU_Life + (30000+Rack_Capex+DC_Capex)*WACC*0.5 + OandM + GridFee_per_kWyr*(GPU_Power_Load_W+Aux_Power_W)/1000*PUE)</f>
        <v/>
      </c>
      <c r="E21" s="31">
        <f>24*365*Avail*1.6*Util - (24*365*Avail*Load_kW/1000+(8760-24*365*Avail)*Idle_kW/1000)*Grid_Price - ((30000+Rack_Capex+DC_Capex)*(1-GPU_Salvage)/GPU_Life + (30000+Rack_Capex+DC_Capex)*WACC*0.5 + OandM + GridFee_per_kWyr*(GPU_Power_Load_W+Aux_Power_W)/1000*PUE)</f>
        <v/>
      </c>
      <c r="F21" s="31">
        <f>24*365*Avail*2.0*Util - (24*365*Avail*Load_kW/1000+(8760-24*365*Avail)*Idle_kW/1000)*Grid_Price - ((30000+Rack_Capex+DC_Capex)*(1-GPU_Salvage)/GPU_Life + (30000+Rack_Capex+DC_Capex)*WACC*0.5 + OandM + GridFee_per_kWyr*(GPU_Power_Load_W+Aux_Power_W)/1000*PUE)</f>
        <v/>
      </c>
      <c r="G21" s="31">
        <f>24*365*Avail*2.4*Util - (24*365*Avail*Load_kW/1000+(8760-24*365*Avail)*Idle_kW/1000)*Grid_Price - ((30000+Rack_Capex+DC_Capex)*(1-GPU_Salvage)/GPU_Life + (30000+Rack_Capex+DC_Capex)*WACC*0.5 + OandM + GridFee_per_kWyr*(GPU_Power_Load_W+Aux_Power_W)/1000*PUE)</f>
        <v/>
      </c>
      <c r="H21" s="31">
        <f>24*365*Avail*3.0*Util - (24*365*Avail*Load_kW/1000+(8760-24*365*Avail)*Idle_kW/1000)*Grid_Price - ((30000+Rack_Capex+DC_Capex)*(1-GPU_Salvage)/GPU_Life + (30000+Rack_Capex+DC_Capex)*WACC*0.5 + OandM + GridFee_per_kWyr*(GPU_Power_Load_W+Aux_Power_W)/1000*PUE)</f>
        <v/>
      </c>
      <c r="I21" s="31">
        <f>24*365*Avail*3.6*Util - (24*365*Avail*Load_kW/1000+(8760-24*365*Avail)*Idle_kW/1000)*Grid_Price - ((30000+Rack_Capex+DC_Capex)*(1-GPU_Salvage)/GPU_Life + (30000+Rack_Capex+DC_Capex)*WACC*0.5 + OandM + GridFee_per_kWyr*(GPU_Power_Load_W+Aux_Power_W)/1000*PUE)</f>
        <v/>
      </c>
      <c r="J21" s="31">
        <f>24*365*Avail*4.5*Util - (24*365*Avail*Load_kW/1000+(8760-24*365*Avail)*Idle_kW/1000)*Grid_Price - ((30000+Rack_Capex+DC_Capex)*(1-GPU_Salvage)/GPU_Life + (30000+Rack_Capex+DC_Capex)*WACC*0.5 + OandM + GridFee_per_kWyr*(GPU_Power_Load_W+Aux_Power_W)/1000*PUE)</f>
        <v/>
      </c>
    </row>
    <row r="22">
      <c r="B22" s="46" t="n">
        <v>36000</v>
      </c>
      <c r="C22" s="31">
        <f>24*365*Avail*0.8*Util - (24*365*Avail*Load_kW/1000+(8760-24*365*Avail)*Idle_kW/1000)*Grid_Price - ((36000+Rack_Capex+DC_Capex)*(1-GPU_Salvage)/GPU_Life + (36000+Rack_Capex+DC_Capex)*WACC*0.5 + OandM + GridFee_per_kWyr*(GPU_Power_Load_W+Aux_Power_W)/1000*PUE)</f>
        <v/>
      </c>
      <c r="D22" s="31">
        <f>24*365*Avail*1.2*Util - (24*365*Avail*Load_kW/1000+(8760-24*365*Avail)*Idle_kW/1000)*Grid_Price - ((36000+Rack_Capex+DC_Capex)*(1-GPU_Salvage)/GPU_Life + (36000+Rack_Capex+DC_Capex)*WACC*0.5 + OandM + GridFee_per_kWyr*(GPU_Power_Load_W+Aux_Power_W)/1000*PUE)</f>
        <v/>
      </c>
      <c r="E22" s="31">
        <f>24*365*Avail*1.6*Util - (24*365*Avail*Load_kW/1000+(8760-24*365*Avail)*Idle_kW/1000)*Grid_Price - ((36000+Rack_Capex+DC_Capex)*(1-GPU_Salvage)/GPU_Life + (36000+Rack_Capex+DC_Capex)*WACC*0.5 + OandM + GridFee_per_kWyr*(GPU_Power_Load_W+Aux_Power_W)/1000*PUE)</f>
        <v/>
      </c>
      <c r="F22" s="31">
        <f>24*365*Avail*2.0*Util - (24*365*Avail*Load_kW/1000+(8760-24*365*Avail)*Idle_kW/1000)*Grid_Price - ((36000+Rack_Capex+DC_Capex)*(1-GPU_Salvage)/GPU_Life + (36000+Rack_Capex+DC_Capex)*WACC*0.5 + OandM + GridFee_per_kWyr*(GPU_Power_Load_W+Aux_Power_W)/1000*PUE)</f>
        <v/>
      </c>
      <c r="G22" s="31">
        <f>24*365*Avail*2.4*Util - (24*365*Avail*Load_kW/1000+(8760-24*365*Avail)*Idle_kW/1000)*Grid_Price - ((36000+Rack_Capex+DC_Capex)*(1-GPU_Salvage)/GPU_Life + (36000+Rack_Capex+DC_Capex)*WACC*0.5 + OandM + GridFee_per_kWyr*(GPU_Power_Load_W+Aux_Power_W)/1000*PUE)</f>
        <v/>
      </c>
      <c r="H22" s="31">
        <f>24*365*Avail*3.0*Util - (24*365*Avail*Load_kW/1000+(8760-24*365*Avail)*Idle_kW/1000)*Grid_Price - ((36000+Rack_Capex+DC_Capex)*(1-GPU_Salvage)/GPU_Life + (36000+Rack_Capex+DC_Capex)*WACC*0.5 + OandM + GridFee_per_kWyr*(GPU_Power_Load_W+Aux_Power_W)/1000*PUE)</f>
        <v/>
      </c>
      <c r="I22" s="31">
        <f>24*365*Avail*3.6*Util - (24*365*Avail*Load_kW/1000+(8760-24*365*Avail)*Idle_kW/1000)*Grid_Price - ((36000+Rack_Capex+DC_Capex)*(1-GPU_Salvage)/GPU_Life + (36000+Rack_Capex+DC_Capex)*WACC*0.5 + OandM + GridFee_per_kWyr*(GPU_Power_Load_W+Aux_Power_W)/1000*PUE)</f>
        <v/>
      </c>
      <c r="J22" s="31">
        <f>24*365*Avail*4.5*Util - (24*365*Avail*Load_kW/1000+(8760-24*365*Avail)*Idle_kW/1000)*Grid_Price - ((36000+Rack_Capex+DC_Capex)*(1-GPU_Salvage)/GPU_Life + (36000+Rack_Capex+DC_Capex)*WACC*0.5 + OandM + GridFee_per_kWyr*(GPU_Power_Load_W+Aux_Power_W)/1000*PUE)</f>
        <v/>
      </c>
    </row>
    <row r="23">
      <c r="B23" s="46" t="n">
        <v>42000</v>
      </c>
      <c r="C23" s="31">
        <f>24*365*Avail*0.8*Util - (24*365*Avail*Load_kW/1000+(8760-24*365*Avail)*Idle_kW/1000)*Grid_Price - ((42000+Rack_Capex+DC_Capex)*(1-GPU_Salvage)/GPU_Life + (42000+Rack_Capex+DC_Capex)*WACC*0.5 + OandM + GridFee_per_kWyr*(GPU_Power_Load_W+Aux_Power_W)/1000*PUE)</f>
        <v/>
      </c>
      <c r="D23" s="31">
        <f>24*365*Avail*1.2*Util - (24*365*Avail*Load_kW/1000+(8760-24*365*Avail)*Idle_kW/1000)*Grid_Price - ((42000+Rack_Capex+DC_Capex)*(1-GPU_Salvage)/GPU_Life + (42000+Rack_Capex+DC_Capex)*WACC*0.5 + OandM + GridFee_per_kWyr*(GPU_Power_Load_W+Aux_Power_W)/1000*PUE)</f>
        <v/>
      </c>
      <c r="E23" s="31">
        <f>24*365*Avail*1.6*Util - (24*365*Avail*Load_kW/1000+(8760-24*365*Avail)*Idle_kW/1000)*Grid_Price - ((42000+Rack_Capex+DC_Capex)*(1-GPU_Salvage)/GPU_Life + (42000+Rack_Capex+DC_Capex)*WACC*0.5 + OandM + GridFee_per_kWyr*(GPU_Power_Load_W+Aux_Power_W)/1000*PUE)</f>
        <v/>
      </c>
      <c r="F23" s="31">
        <f>24*365*Avail*2.0*Util - (24*365*Avail*Load_kW/1000+(8760-24*365*Avail)*Idle_kW/1000)*Grid_Price - ((42000+Rack_Capex+DC_Capex)*(1-GPU_Salvage)/GPU_Life + (42000+Rack_Capex+DC_Capex)*WACC*0.5 + OandM + GridFee_per_kWyr*(GPU_Power_Load_W+Aux_Power_W)/1000*PUE)</f>
        <v/>
      </c>
      <c r="G23" s="31">
        <f>24*365*Avail*2.4*Util - (24*365*Avail*Load_kW/1000+(8760-24*365*Avail)*Idle_kW/1000)*Grid_Price - ((42000+Rack_Capex+DC_Capex)*(1-GPU_Salvage)/GPU_Life + (42000+Rack_Capex+DC_Capex)*WACC*0.5 + OandM + GridFee_per_kWyr*(GPU_Power_Load_W+Aux_Power_W)/1000*PUE)</f>
        <v/>
      </c>
      <c r="H23" s="31">
        <f>24*365*Avail*3.0*Util - (24*365*Avail*Load_kW/1000+(8760-24*365*Avail)*Idle_kW/1000)*Grid_Price - ((42000+Rack_Capex+DC_Capex)*(1-GPU_Salvage)/GPU_Life + (42000+Rack_Capex+DC_Capex)*WACC*0.5 + OandM + GridFee_per_kWyr*(GPU_Power_Load_W+Aux_Power_W)/1000*PUE)</f>
        <v/>
      </c>
      <c r="I23" s="31">
        <f>24*365*Avail*3.6*Util - (24*365*Avail*Load_kW/1000+(8760-24*365*Avail)*Idle_kW/1000)*Grid_Price - ((42000+Rack_Capex+DC_Capex)*(1-GPU_Salvage)/GPU_Life + (42000+Rack_Capex+DC_Capex)*WACC*0.5 + OandM + GridFee_per_kWyr*(GPU_Power_Load_W+Aux_Power_W)/1000*PUE)</f>
        <v/>
      </c>
      <c r="J23" s="31">
        <f>24*365*Avail*4.5*Util - (24*365*Avail*Load_kW/1000+(8760-24*365*Avail)*Idle_kW/1000)*Grid_Price - ((42000+Rack_Capex+DC_Capex)*(1-GPU_Salvage)/GPU_Life + (42000+Rack_Capex+DC_Capex)*WACC*0.5 + OandM + GridFee_per_kWyr*(GPU_Power_Load_W+Aux_Power_W)/1000*PUE)</f>
        <v/>
      </c>
    </row>
    <row r="24">
      <c r="B24" s="46" t="n">
        <v>50000</v>
      </c>
      <c r="C24" s="31">
        <f>24*365*Avail*0.8*Util - (24*365*Avail*Load_kW/1000+(8760-24*365*Avail)*Idle_kW/1000)*Grid_Price - ((50000+Rack_Capex+DC_Capex)*(1-GPU_Salvage)/GPU_Life + (50000+Rack_Capex+DC_Capex)*WACC*0.5 + OandM + GridFee_per_kWyr*(GPU_Power_Load_W+Aux_Power_W)/1000*PUE)</f>
        <v/>
      </c>
      <c r="D24" s="31">
        <f>24*365*Avail*1.2*Util - (24*365*Avail*Load_kW/1000+(8760-24*365*Avail)*Idle_kW/1000)*Grid_Price - ((50000+Rack_Capex+DC_Capex)*(1-GPU_Salvage)/GPU_Life + (50000+Rack_Capex+DC_Capex)*WACC*0.5 + OandM + GridFee_per_kWyr*(GPU_Power_Load_W+Aux_Power_W)/1000*PUE)</f>
        <v/>
      </c>
      <c r="E24" s="31">
        <f>24*365*Avail*1.6*Util - (24*365*Avail*Load_kW/1000+(8760-24*365*Avail)*Idle_kW/1000)*Grid_Price - ((50000+Rack_Capex+DC_Capex)*(1-GPU_Salvage)/GPU_Life + (50000+Rack_Capex+DC_Capex)*WACC*0.5 + OandM + GridFee_per_kWyr*(GPU_Power_Load_W+Aux_Power_W)/1000*PUE)</f>
        <v/>
      </c>
      <c r="F24" s="31">
        <f>24*365*Avail*2.0*Util - (24*365*Avail*Load_kW/1000+(8760-24*365*Avail)*Idle_kW/1000)*Grid_Price - ((50000+Rack_Capex+DC_Capex)*(1-GPU_Salvage)/GPU_Life + (50000+Rack_Capex+DC_Capex)*WACC*0.5 + OandM + GridFee_per_kWyr*(GPU_Power_Load_W+Aux_Power_W)/1000*PUE)</f>
        <v/>
      </c>
      <c r="G24" s="31">
        <f>24*365*Avail*2.4*Util - (24*365*Avail*Load_kW/1000+(8760-24*365*Avail)*Idle_kW/1000)*Grid_Price - ((50000+Rack_Capex+DC_Capex)*(1-GPU_Salvage)/GPU_Life + (50000+Rack_Capex+DC_Capex)*WACC*0.5 + OandM + GridFee_per_kWyr*(GPU_Power_Load_W+Aux_Power_W)/1000*PUE)</f>
        <v/>
      </c>
      <c r="H24" s="31">
        <f>24*365*Avail*3.0*Util - (24*365*Avail*Load_kW/1000+(8760-24*365*Avail)*Idle_kW/1000)*Grid_Price - ((50000+Rack_Capex+DC_Capex)*(1-GPU_Salvage)/GPU_Life + (50000+Rack_Capex+DC_Capex)*WACC*0.5 + OandM + GridFee_per_kWyr*(GPU_Power_Load_W+Aux_Power_W)/1000*PUE)</f>
        <v/>
      </c>
      <c r="I24" s="31">
        <f>24*365*Avail*3.6*Util - (24*365*Avail*Load_kW/1000+(8760-24*365*Avail)*Idle_kW/1000)*Grid_Price - ((50000+Rack_Capex+DC_Capex)*(1-GPU_Salvage)/GPU_Life + (50000+Rack_Capex+DC_Capex)*WACC*0.5 + OandM + GridFee_per_kWyr*(GPU_Power_Load_W+Aux_Power_W)/1000*PUE)</f>
        <v/>
      </c>
      <c r="J24" s="31">
        <f>24*365*Avail*4.5*Util - (24*365*Avail*Load_kW/1000+(8760-24*365*Avail)*Idle_kW/1000)*Grid_Price - ((50000+Rack_Capex+DC_Capex)*(1-GPU_Salvage)/GPU_Life + (50000+Rack_Capex+DC_Capex)*WACC*0.5 + OandM + GridFee_per_kWyr*(GPU_Power_Load_W+Aux_Power_W)/1000*PUE)</f>
        <v/>
      </c>
    </row>
    <row r="25">
      <c r="B25" s="46" t="n">
        <v>60000</v>
      </c>
      <c r="C25" s="31">
        <f>24*365*Avail*0.8*Util - (24*365*Avail*Load_kW/1000+(8760-24*365*Avail)*Idle_kW/1000)*Grid_Price - ((60000+Rack_Capex+DC_Capex)*(1-GPU_Salvage)/GPU_Life + (60000+Rack_Capex+DC_Capex)*WACC*0.5 + OandM + GridFee_per_kWyr*(GPU_Power_Load_W+Aux_Power_W)/1000*PUE)</f>
        <v/>
      </c>
      <c r="D25" s="31">
        <f>24*365*Avail*1.2*Util - (24*365*Avail*Load_kW/1000+(8760-24*365*Avail)*Idle_kW/1000)*Grid_Price - ((60000+Rack_Capex+DC_Capex)*(1-GPU_Salvage)/GPU_Life + (60000+Rack_Capex+DC_Capex)*WACC*0.5 + OandM + GridFee_per_kWyr*(GPU_Power_Load_W+Aux_Power_W)/1000*PUE)</f>
        <v/>
      </c>
      <c r="E25" s="31">
        <f>24*365*Avail*1.6*Util - (24*365*Avail*Load_kW/1000+(8760-24*365*Avail)*Idle_kW/1000)*Grid_Price - ((60000+Rack_Capex+DC_Capex)*(1-GPU_Salvage)/GPU_Life + (60000+Rack_Capex+DC_Capex)*WACC*0.5 + OandM + GridFee_per_kWyr*(GPU_Power_Load_W+Aux_Power_W)/1000*PUE)</f>
        <v/>
      </c>
      <c r="F25" s="31">
        <f>24*365*Avail*2.0*Util - (24*365*Avail*Load_kW/1000+(8760-24*365*Avail)*Idle_kW/1000)*Grid_Price - ((60000+Rack_Capex+DC_Capex)*(1-GPU_Salvage)/GPU_Life + (60000+Rack_Capex+DC_Capex)*WACC*0.5 + OandM + GridFee_per_kWyr*(GPU_Power_Load_W+Aux_Power_W)/1000*PUE)</f>
        <v/>
      </c>
      <c r="G25" s="31">
        <f>24*365*Avail*2.4*Util - (24*365*Avail*Load_kW/1000+(8760-24*365*Avail)*Idle_kW/1000)*Grid_Price - ((60000+Rack_Capex+DC_Capex)*(1-GPU_Salvage)/GPU_Life + (60000+Rack_Capex+DC_Capex)*WACC*0.5 + OandM + GridFee_per_kWyr*(GPU_Power_Load_W+Aux_Power_W)/1000*PUE)</f>
        <v/>
      </c>
      <c r="H25" s="31">
        <f>24*365*Avail*3.0*Util - (24*365*Avail*Load_kW/1000+(8760-24*365*Avail)*Idle_kW/1000)*Grid_Price - ((60000+Rack_Capex+DC_Capex)*(1-GPU_Salvage)/GPU_Life + (60000+Rack_Capex+DC_Capex)*WACC*0.5 + OandM + GridFee_per_kWyr*(GPU_Power_Load_W+Aux_Power_W)/1000*PUE)</f>
        <v/>
      </c>
      <c r="I25" s="31">
        <f>24*365*Avail*3.6*Util - (24*365*Avail*Load_kW/1000+(8760-24*365*Avail)*Idle_kW/1000)*Grid_Price - ((60000+Rack_Capex+DC_Capex)*(1-GPU_Salvage)/GPU_Life + (60000+Rack_Capex+DC_Capex)*WACC*0.5 + OandM + GridFee_per_kWyr*(GPU_Power_Load_W+Aux_Power_W)/1000*PUE)</f>
        <v/>
      </c>
      <c r="J25" s="31">
        <f>24*365*Avail*4.5*Util - (24*365*Avail*Load_kW/1000+(8760-24*365*Avail)*Idle_kW/1000)*Grid_Price - ((60000+Rack_Capex+DC_Capex)*(1-GPU_Salvage)/GPU_Life + (60000+Rack_Capex+DC_Capex)*WACC*0.5 + OandM + GridFee_per_kWyr*(GPU_Power_Load_W+Aux_Power_W)/1000*PUE)</f>
        <v/>
      </c>
    </row>
  </sheetData>
  <mergeCells count="3">
    <mergeCell ref="B3:N3"/>
    <mergeCell ref="B2:N2"/>
    <mergeCell ref="B17:N17"/>
  </mergeCells>
  <conditionalFormatting sqref="C6:I14">
    <cfRule type="colorScale" priority="1">
      <colorScale>
        <cfvo type="min"/>
        <cfvo type="num" val="0"/>
        <cfvo type="max"/>
        <color rgb="00F8696B"/>
        <color rgb="00FFEB84"/>
        <color rgb="0063BE7B"/>
      </colorScale>
    </cfRule>
  </conditionalFormatting>
  <conditionalFormatting sqref="C19:I25">
    <cfRule type="colorScale" priority="2">
      <colorScale>
        <cfvo type="min"/>
        <cfvo type="num" val="0"/>
        <cfvo type="max"/>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cols>
    <col width="3" customWidth="1" min="1" max="1"/>
    <col width="16" customWidth="1" min="2" max="2"/>
    <col width="18" customWidth="1" min="3" max="3"/>
    <col width="18" customWidth="1" min="4" max="4"/>
    <col width="18" customWidth="1" min="5" max="5"/>
    <col width="18" customWidth="1" min="6" max="6"/>
    <col width="18" customWidth="1" min="7" max="7"/>
    <col width="22" customWidth="1" min="8" max="8"/>
  </cols>
  <sheetData>
    <row r="2">
      <c r="B2" s="12" t="inlineStr">
        <is>
          <t>Country comparison — where écrêtement bites hardest</t>
        </is>
      </c>
    </row>
    <row r="3">
      <c r="B3" s="23" t="inlineStr">
        <is>
          <t>Yellow cells are country-specific assumptions; the EBITDA column recomputes against the same GPU cost stack.</t>
        </is>
      </c>
    </row>
    <row r="5">
      <c r="B5" s="24" t="inlineStr">
        <is>
          <t>Country</t>
        </is>
      </c>
      <c r="C5" s="24" t="inlineStr">
        <is>
          <t>Curt €/MWh</t>
        </is>
      </c>
      <c r="D5" s="24" t="inlineStr">
        <is>
          <t>Grid €/MWh</t>
        </is>
      </c>
      <c r="E5" s="24" t="inlineStr">
        <is>
          <t>Curt hrs/day</t>
        </is>
      </c>
      <c r="F5" s="24" t="inlineStr">
        <is>
          <t>Curt days/yr</t>
        </is>
      </c>
      <c r="G5" s="24" t="inlineStr">
        <is>
          <t>Solar penetration</t>
        </is>
      </c>
      <c r="H5" s="24" t="inlineStr">
        <is>
          <t>EBITDA Curt-only / GPU / yr</t>
        </is>
      </c>
    </row>
    <row r="6">
      <c r="B6" s="29" t="inlineStr">
        <is>
          <t>Germany</t>
        </is>
      </c>
      <c r="C6" s="14" t="n">
        <v>-20</v>
      </c>
      <c r="D6" s="14" t="n">
        <v>130</v>
      </c>
      <c r="E6" s="16" t="n">
        <v>5</v>
      </c>
      <c r="F6" s="18" t="n">
        <v>180</v>
      </c>
      <c r="G6" s="17" t="n">
        <v>0.13</v>
      </c>
      <c r="H6" s="38">
        <f>E6*F6*Avail*Rev_Interr - (E6*F6*Avail*Load_kW/1000+(8760-E6*F6*Avail)*Idle_kW/1000)*C6 - Fixed_Cost_GPU</f>
        <v/>
      </c>
    </row>
    <row r="7">
      <c r="B7" s="29" t="inlineStr">
        <is>
          <t>Spain</t>
        </is>
      </c>
      <c r="C7" s="14" t="n">
        <v>-30</v>
      </c>
      <c r="D7" s="14" t="n">
        <v>110</v>
      </c>
      <c r="E7" s="16" t="n">
        <v>6</v>
      </c>
      <c r="F7" s="18" t="n">
        <v>220</v>
      </c>
      <c r="G7" s="17" t="n">
        <v>0.21</v>
      </c>
      <c r="H7" s="38">
        <f>E7*F7*Avail*Rev_Interr - (E7*F7*Avail*Load_kW/1000+(8760-E7*F7*Avail)*Idle_kW/1000)*C7 - Fixed_Cost_GPU</f>
        <v/>
      </c>
    </row>
    <row r="8">
      <c r="B8" s="29" t="inlineStr">
        <is>
          <t>France</t>
        </is>
      </c>
      <c r="C8" s="14" t="n">
        <v>5</v>
      </c>
      <c r="D8" s="14" t="n">
        <v>100</v>
      </c>
      <c r="E8" s="16" t="n">
        <v>3</v>
      </c>
      <c r="F8" s="18" t="n">
        <v>120</v>
      </c>
      <c r="G8" s="17" t="n">
        <v>0.05</v>
      </c>
      <c r="H8" s="38">
        <f>E8*F8*Avail*Rev_Interr - (E8*F8*Avail*Load_kW/1000+(8760-E8*F8*Avail)*Idle_kW/1000)*C8 - Fixed_Cost_GPU</f>
        <v/>
      </c>
    </row>
    <row r="9">
      <c r="B9" s="29" t="inlineStr">
        <is>
          <t>Netherlands</t>
        </is>
      </c>
      <c r="C9" s="14" t="n">
        <v>-25</v>
      </c>
      <c r="D9" s="14" t="n">
        <v>135</v>
      </c>
      <c r="E9" s="16" t="n">
        <v>5</v>
      </c>
      <c r="F9" s="18" t="n">
        <v>170</v>
      </c>
      <c r="G9" s="17" t="n">
        <v>0.18</v>
      </c>
      <c r="H9" s="38">
        <f>E9*F9*Avail*Rev_Interr - (E9*F9*Avail*Load_kW/1000+(8760-E9*F9*Avail)*Idle_kW/1000)*C9 - Fixed_Cost_GPU</f>
        <v/>
      </c>
    </row>
    <row r="10">
      <c r="B10" s="29" t="inlineStr">
        <is>
          <t>Italy</t>
        </is>
      </c>
      <c r="C10" s="14" t="n">
        <v>-10</v>
      </c>
      <c r="D10" s="14" t="n">
        <v>145</v>
      </c>
      <c r="E10" s="16" t="n">
        <v>5</v>
      </c>
      <c r="F10" s="18" t="n">
        <v>200</v>
      </c>
      <c r="G10" s="17" t="n">
        <v>0.12</v>
      </c>
      <c r="H10" s="38">
        <f>E10*F10*Avail*Rev_Interr - (E10*F10*Avail*Load_kW/1000+(8760-E10*F10*Avail)*Idle_kW/1000)*C10 - Fixed_Cost_GPU</f>
        <v/>
      </c>
    </row>
    <row r="11">
      <c r="B11" s="29" t="inlineStr">
        <is>
          <t>UK</t>
        </is>
      </c>
      <c r="C11" s="14" t="n">
        <v>20</v>
      </c>
      <c r="D11" s="14" t="n">
        <v>150</v>
      </c>
      <c r="E11" s="16" t="n">
        <v>2</v>
      </c>
      <c r="F11" s="18" t="n">
        <v>80</v>
      </c>
      <c r="G11" s="17" t="n">
        <v>0.06</v>
      </c>
      <c r="H11" s="38">
        <f>E11*F11*Avail*Rev_Interr - (E11*F11*Avail*Load_kW/1000+(8760-E11*F11*Avail)*Idle_kW/1000)*C11 - Fixed_Cost_GPU</f>
        <v/>
      </c>
    </row>
  </sheetData>
  <mergeCells count="2">
    <mergeCell ref="B3:H3"/>
    <mergeCell ref="B2:H2"/>
  </mergeCells>
  <conditionalFormatting sqref="H6:H11">
    <cfRule type="colorScale" priority="1">
      <colorScale>
        <cfvo type="min"/>
        <cfvo type="num" val="0"/>
        <cfvo type="max"/>
        <color rgb="00F8696B"/>
        <color rgb="00FFEB84"/>
        <color rgb="0063BE7B"/>
      </colorScale>
    </cfRule>
  </conditionalFormatting>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B2:F32"/>
  <sheetViews>
    <sheetView showGridLines="0" workbookViewId="0">
      <selection activeCell="A1" sqref="A1"/>
    </sheetView>
  </sheetViews>
  <sheetFormatPr baseColWidth="8" defaultRowHeight="15"/>
  <cols>
    <col width="3" customWidth="1" min="1" max="1"/>
    <col width="36" customWidth="1" min="2" max="2"/>
    <col width="22" customWidth="1" min="3" max="3"/>
    <col width="22" customWidth="1" min="4" max="4"/>
    <col width="22" customWidth="1" min="5" max="5"/>
    <col width="22" customWidth="1" min="6" max="6"/>
  </cols>
  <sheetData>
    <row r="2">
      <c r="B2" s="12" t="inlineStr">
        <is>
          <t>Dashboard — the answer in one page</t>
        </is>
      </c>
    </row>
    <row r="4">
      <c r="B4" s="13" t="inlineStr">
        <is>
          <t>Headline KPIs (per GPU / per year unless stated)</t>
        </is>
      </c>
    </row>
    <row r="5">
      <c r="B5" t="inlineStr">
        <is>
          <t>Capex per GPU</t>
        </is>
      </c>
      <c r="C5" s="31">
        <f>Total_Capex</f>
        <v/>
      </c>
    </row>
    <row r="6">
      <c r="B6" t="inlineStr">
        <is>
          <t>Fixed annual cost / GPU</t>
        </is>
      </c>
      <c r="C6" s="31">
        <f>Fixed_Cost_GPU</f>
        <v/>
      </c>
    </row>
    <row r="7">
      <c r="B7" t="inlineStr">
        <is>
          <t>Best operating mode</t>
        </is>
      </c>
      <c r="C7" s="40">
        <f>Scenarios!C23</f>
        <v/>
      </c>
      <c r="D7" s="41" t="n"/>
      <c r="E7" s="41" t="n"/>
      <c r="F7" s="42" t="n"/>
    </row>
    <row r="8">
      <c r="B8" t="inlineStr">
        <is>
          <t>Best EBITDA / GPU / yr</t>
        </is>
      </c>
      <c r="C8" s="34">
        <f>MAX(EBITDA_A,EBITDA_B,EBITDA_C)</f>
        <v/>
      </c>
    </row>
    <row r="9">
      <c r="B9" t="inlineStr">
        <is>
          <t>Δ vs idle (zero op)</t>
        </is>
      </c>
      <c r="C9" s="31">
        <f>C8-(-Fixed_Cost_GPU)</f>
        <v/>
      </c>
    </row>
    <row r="10">
      <c r="B10" t="inlineStr">
        <is>
          <t>Payback (yrs)</t>
        </is>
      </c>
      <c r="C10" s="30">
        <f>IFERROR(Total_Capex/(C8+(Total_Capex*(1-GPU_Salvage)/GPU_Life)),"n/a")</f>
        <v/>
      </c>
    </row>
    <row r="11">
      <c r="B11" t="inlineStr">
        <is>
          <t>Equilibrium curt price (24/7 = Curt-only)</t>
        </is>
      </c>
      <c r="C11" s="34">
        <f>Equilibrium!E29</f>
        <v/>
      </c>
    </row>
    <row r="12">
      <c r="B12" t="inlineStr">
        <is>
          <t>Equilibrium curt price (Daytime = Curt-only)</t>
        </is>
      </c>
      <c r="C12" s="34">
        <f>Equilibrium!E30</f>
        <v/>
      </c>
    </row>
    <row r="13">
      <c r="B13" s="13" t="inlineStr">
        <is>
          <t>Fleet view (× number of GPUs)</t>
        </is>
      </c>
    </row>
    <row r="14">
      <c r="B14" t="inlineStr">
        <is>
          <t>Fleet capex</t>
        </is>
      </c>
      <c r="C14" s="31">
        <f>Total_Capex*Fleet</f>
        <v/>
      </c>
    </row>
    <row r="15">
      <c r="B15" t="inlineStr">
        <is>
          <t>Fleet EBITDA / yr (best mode)</t>
        </is>
      </c>
      <c r="C15" s="34">
        <f>C8*Fleet</f>
        <v/>
      </c>
    </row>
    <row r="16">
      <c r="B16" t="inlineStr">
        <is>
          <t>Fleet EBITDA over horizon</t>
        </is>
      </c>
      <c r="C16" s="31">
        <f>C15*Horizon</f>
        <v/>
      </c>
    </row>
    <row r="17">
      <c r="B17" t="inlineStr">
        <is>
          <t>Fleet NPV @ WACC</t>
        </is>
      </c>
      <c r="C17" s="34">
        <f>-C14 + C15*(1-(1+WACC)^-Horizon)/WACC + (Total_Capex*GPU_Salvage*Fleet)/((1+WACC)^Horizon)</f>
        <v/>
      </c>
    </row>
    <row r="18">
      <c r="B18" t="inlineStr">
        <is>
          <t>Fleet IRR (proxy, level cash flow)</t>
        </is>
      </c>
      <c r="C18" s="47">
        <f>IFERROR(RATE(Horizon,-C15,C14-(Total_Capex*GPU_Salvage*Fleet)/((1+WACC)^Horizon)),"n/a")</f>
        <v/>
      </c>
    </row>
    <row r="20">
      <c r="B20" s="13" t="inlineStr">
        <is>
          <t>Scenario reconciliation (Hourly vs Annual)</t>
        </is>
      </c>
    </row>
    <row r="21">
      <c r="B21" s="43" t="inlineStr"/>
      <c r="C21" s="43" t="inlineStr">
        <is>
          <t>24/7</t>
        </is>
      </c>
      <c r="D21" s="43" t="inlineStr">
        <is>
          <t>Daytime</t>
        </is>
      </c>
      <c r="E21" s="43" t="inlineStr">
        <is>
          <t>Curtailment</t>
        </is>
      </c>
    </row>
    <row r="22">
      <c r="B22" t="inlineStr">
        <is>
          <t>Annual-aggregate EBITDA</t>
        </is>
      </c>
      <c r="C22" s="31">
        <f>EBITDA_A</f>
        <v/>
      </c>
      <c r="D22" s="31">
        <f>EBITDA_B</f>
        <v/>
      </c>
      <c r="E22" s="31">
        <f>EBITDA_C</f>
        <v/>
      </c>
    </row>
    <row r="23">
      <c r="B23" t="inlineStr">
        <is>
          <t>Hourly-built EBITDA</t>
        </is>
      </c>
      <c r="C23" s="31">
        <f>Hourly_EBITDA_A</f>
        <v/>
      </c>
      <c r="D23" s="31">
        <f>Hourly_EBITDA_B</f>
        <v/>
      </c>
      <c r="E23" s="31">
        <f>Hourly_EBITDA_C</f>
        <v/>
      </c>
    </row>
    <row r="24">
      <c r="B24" t="inlineStr">
        <is>
          <t>Δ (sanity)</t>
        </is>
      </c>
      <c r="C24" s="31">
        <f>C23-C22</f>
        <v/>
      </c>
      <c r="D24" s="31">
        <f>D23-D22</f>
        <v/>
      </c>
      <c r="E24" s="31">
        <f>E23-E22</f>
        <v/>
      </c>
    </row>
    <row r="26">
      <c r="B26" s="13" t="inlineStr">
        <is>
          <t>What the model says</t>
        </is>
      </c>
    </row>
    <row r="27" ht="20" customHeight="1">
      <c r="B27" s="4" t="inlineStr">
        <is>
          <t>The curtailment-only mode is profitable if and only if (a) the average curtailment-window price is ≤ the value shown in C11 above, and (b) you can secure a buyer for non-firm GPU hours at the haircut rate on the Inputs sheet. The dominant cost is depreciation of H100 capex, not electricity — which means the case is more sensitive to GPU price and to the number of curtailment days per year than to how negative the spot price gets. Solar curtailment is real and growing, but a curtailment-only datacenter is a bet on the permanent existence of cheap, predictable solar troughs and on a willing market for interruptible AI compute. The two-way sensitivities tell the story: if H100 street price falls another 30% AND curtailment hours rise above ~6/day in your country, the equilibrium tips and stranded GPUs at solar sites become a genuine play.</t>
        </is>
      </c>
    </row>
    <row r="28" ht="20" customHeight="1"/>
    <row r="29" ht="20" customHeight="1"/>
    <row r="30" ht="20" customHeight="1"/>
    <row r="31" ht="20" customHeight="1"/>
    <row r="32" ht="20" customHeight="1"/>
  </sheetData>
  <mergeCells count="7">
    <mergeCell ref="B4:F4"/>
    <mergeCell ref="B2:F2"/>
    <mergeCell ref="B20:F20"/>
    <mergeCell ref="B27:F32"/>
    <mergeCell ref="C7:F7"/>
    <mergeCell ref="B26:F26"/>
    <mergeCell ref="B13:F1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I35"/>
  <sheetViews>
    <sheetView showGridLines="0" workbookViewId="0">
      <selection activeCell="A1" sqref="A1"/>
    </sheetView>
  </sheetViews>
  <sheetFormatPr baseColWidth="8" defaultRowHeight="15"/>
  <cols>
    <col width="4" customWidth="1" min="1" max="1"/>
    <col width="4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2">
      <c r="B2" s="12" t="inlineStr">
        <is>
          <t>Hypotheses — what flips the equilibrium?</t>
        </is>
      </c>
    </row>
    <row r="3">
      <c r="B3" s="23" t="inlineStr">
        <is>
          <t>Each row is a self-contained scenario computed with the same math as Scenarios + Equilibrium. Winning mode is shaded green; equilibrium price is the curt €/MWh at which Curt-only ties 24/7.</t>
        </is>
      </c>
    </row>
    <row r="5" ht="30" customHeight="1">
      <c r="A5" s="48" t="inlineStr">
        <is>
          <t>#</t>
        </is>
      </c>
      <c r="B5" s="48" t="inlineStr">
        <is>
          <t>Hypothesis</t>
        </is>
      </c>
      <c r="C5" s="48" t="inlineStr">
        <is>
          <t>Capex/GPU</t>
        </is>
      </c>
      <c r="D5" s="48" t="inlineStr">
        <is>
          <t>Fixed/yr</t>
        </is>
      </c>
      <c r="E5" s="48" t="inlineStr">
        <is>
          <t>EBITDA A (24/7)</t>
        </is>
      </c>
      <c r="F5" s="48" t="inlineStr">
        <is>
          <t>EBITDA B (Daytime)</t>
        </is>
      </c>
      <c r="G5" s="48" t="inlineStr">
        <is>
          <t>EBITDA C (Curt-only)</t>
        </is>
      </c>
      <c r="H5" s="48" t="inlineStr">
        <is>
          <t>Eq curt €/MWh (C=A)</t>
        </is>
      </c>
      <c r="I5" s="48" t="inlineStr">
        <is>
          <t>Winner</t>
        </is>
      </c>
    </row>
    <row r="6">
      <c r="A6" s="49" t="inlineStr">
        <is>
          <t>H1</t>
        </is>
      </c>
      <c r="B6" s="50" t="inlineStr">
        <is>
          <t>Base case (defaults)</t>
        </is>
      </c>
      <c r="C6" s="51" t="n">
        <v>40000</v>
      </c>
      <c r="D6" s="51" t="n">
        <v>12295.04</v>
      </c>
      <c r="E6" s="52" t="n">
        <v>2331.345587199998</v>
      </c>
      <c r="F6" s="53" t="n">
        <v>-6066.463701000001</v>
      </c>
      <c r="G6" s="53" t="n">
        <v>-11115.456188</v>
      </c>
      <c r="H6" s="54" t="n">
        <v>-5492.042830316129</v>
      </c>
      <c r="I6" s="55" t="inlineStr">
        <is>
          <t>24/7</t>
        </is>
      </c>
    </row>
    <row r="7">
      <c r="A7" s="49" t="inlineStr">
        <is>
          <t>H2</t>
        </is>
      </c>
      <c r="B7" s="50" t="inlineStr">
        <is>
          <t>Hopper price collapse (Blackwell pressure)</t>
        </is>
      </c>
      <c r="C7" s="51" t="n">
        <v>26000</v>
      </c>
      <c r="D7" s="51" t="n">
        <v>8770.040000000001</v>
      </c>
      <c r="E7" s="52" t="n">
        <v>5856.345587199998</v>
      </c>
      <c r="F7" s="53" t="n">
        <v>-2541.463701000001</v>
      </c>
      <c r="G7" s="53" t="n">
        <v>-7590.456188000001</v>
      </c>
      <c r="H7" s="54" t="n">
        <v>-5492.042830316129</v>
      </c>
      <c r="I7" s="55" t="inlineStr">
        <is>
          <t>24/7</t>
        </is>
      </c>
    </row>
    <row r="8">
      <c r="A8" s="49" t="inlineStr">
        <is>
          <t>H3</t>
        </is>
      </c>
      <c r="B8" s="50" t="inlineStr">
        <is>
          <t>Spain 2030 (deep curtailment)</t>
        </is>
      </c>
      <c r="C8" s="51" t="n">
        <v>40000</v>
      </c>
      <c r="D8" s="51" t="n">
        <v>12295.04</v>
      </c>
      <c r="E8" s="52" t="n">
        <v>2331.345587199998</v>
      </c>
      <c r="F8" s="53" t="n">
        <v>-6066.463701000001</v>
      </c>
      <c r="G8" s="53" t="n">
        <v>-9975.4731584</v>
      </c>
      <c r="H8" s="54" t="n">
        <v>-4020.987960324625</v>
      </c>
      <c r="I8" s="55" t="inlineStr">
        <is>
          <t>24/7</t>
        </is>
      </c>
    </row>
    <row r="9">
      <c r="A9" s="49" t="inlineStr">
        <is>
          <t>H4</t>
        </is>
      </c>
      <c r="B9" s="50" t="inlineStr">
        <is>
          <t>Premium green compute (no haircut, €3/hr)</t>
        </is>
      </c>
      <c r="C9" s="51" t="n">
        <v>40000</v>
      </c>
      <c r="D9" s="51" t="n">
        <v>12295.04</v>
      </c>
      <c r="E9" s="52" t="n">
        <v>9384.021587199997</v>
      </c>
      <c r="F9" s="53" t="n">
        <v>-3127.848701000001</v>
      </c>
      <c r="G9" s="53" t="n">
        <v>-9901.113188000001</v>
      </c>
      <c r="H9" s="54" t="n">
        <v>-7870.065532905754</v>
      </c>
      <c r="I9" s="55" t="inlineStr">
        <is>
          <t>24/7</t>
        </is>
      </c>
    </row>
    <row r="10">
      <c r="A10" s="49" t="inlineStr">
        <is>
          <t>H5</t>
        </is>
      </c>
      <c r="B10" s="50" t="inlineStr">
        <is>
          <t>Cheap modular DC (capex halved)</t>
        </is>
      </c>
      <c r="C10" s="51" t="n">
        <v>36000</v>
      </c>
      <c r="D10" s="51" t="n">
        <v>11195.04</v>
      </c>
      <c r="E10" s="52" t="n">
        <v>3431.345587199998</v>
      </c>
      <c r="F10" s="53" t="n">
        <v>-4966.463701000001</v>
      </c>
      <c r="G10" s="53" t="n">
        <v>-10015.456188</v>
      </c>
      <c r="H10" s="54" t="n">
        <v>-5492.042830316129</v>
      </c>
      <c r="I10" s="55" t="inlineStr">
        <is>
          <t>24/7</t>
        </is>
      </c>
    </row>
    <row r="11">
      <c r="A11" s="49" t="inlineStr">
        <is>
          <t>H6</t>
        </is>
      </c>
      <c r="B11" s="50" t="inlineStr">
        <is>
          <t>Crypto/inference floor only (no AI tenant)</t>
        </is>
      </c>
      <c r="C11" s="51" t="n">
        <v>40000</v>
      </c>
      <c r="D11" s="51" t="n">
        <v>12295.04</v>
      </c>
      <c r="E11" s="53" t="n">
        <v>-10329.4824128</v>
      </c>
      <c r="F11" s="53" t="n">
        <v>-11341.808701</v>
      </c>
      <c r="G11" s="53" t="n">
        <v>-11926.473188</v>
      </c>
      <c r="H11" s="54" t="n">
        <v>-665.4734004127207</v>
      </c>
      <c r="I11" s="56" t="inlineStr">
        <is>
          <t>24/7</t>
        </is>
      </c>
    </row>
    <row r="12">
      <c r="A12" s="49" t="inlineStr">
        <is>
          <t>H7</t>
        </is>
      </c>
      <c r="B12" s="50" t="inlineStr">
        <is>
          <t>EU carbon credit at €80/MWh</t>
        </is>
      </c>
      <c r="C12" s="51" t="n">
        <v>40000</v>
      </c>
      <c r="D12" s="51" t="n">
        <v>12295.04</v>
      </c>
      <c r="E12" s="52" t="n">
        <v>2331.345587199998</v>
      </c>
      <c r="F12" s="53" t="n">
        <v>-5952.381169800001</v>
      </c>
      <c r="G12" s="53" t="n">
        <v>-10919.046524</v>
      </c>
      <c r="H12" s="54" t="n">
        <v>-5412.042830316129</v>
      </c>
      <c r="I12" s="55" t="inlineStr">
        <is>
          <t>24/7</t>
        </is>
      </c>
    </row>
    <row r="13">
      <c r="A13" s="49" t="inlineStr">
        <is>
          <t>H8</t>
        </is>
      </c>
      <c r="B13" s="50" t="inlineStr">
        <is>
          <t>Sovereign-backed (cheap capital, longer life)</t>
        </is>
      </c>
      <c r="C13" s="51" t="n">
        <v>40000</v>
      </c>
      <c r="D13" s="51" t="n">
        <v>8495.040000000001</v>
      </c>
      <c r="E13" s="52" t="n">
        <v>6131.345587199998</v>
      </c>
      <c r="F13" s="53" t="n">
        <v>-2266.463701000001</v>
      </c>
      <c r="G13" s="53" t="n">
        <v>-7315.456188000001</v>
      </c>
      <c r="H13" s="54" t="n">
        <v>-5492.042830316129</v>
      </c>
      <c r="I13" s="55" t="inlineStr">
        <is>
          <t>24/7</t>
        </is>
      </c>
    </row>
    <row r="14">
      <c r="A14" s="49" t="inlineStr">
        <is>
          <t>H9</t>
        </is>
      </c>
      <c r="B14" s="50" t="inlineStr">
        <is>
          <t>Blackwell-era (B200): more capex, more rev</t>
        </is>
      </c>
      <c r="C14" s="51" t="n">
        <v>58000</v>
      </c>
      <c r="D14" s="51" t="n">
        <v>17277.44</v>
      </c>
      <c r="E14" s="52" t="n">
        <v>9919.195187199999</v>
      </c>
      <c r="F14" s="53" t="n">
        <v>-5762.888075999999</v>
      </c>
      <c r="G14" s="53" t="n">
        <v>-15151.060688</v>
      </c>
      <c r="H14" s="54" t="n">
        <v>-7746.479387043963</v>
      </c>
      <c r="I14" s="55" t="inlineStr">
        <is>
          <t>24/7</t>
        </is>
      </c>
    </row>
    <row r="15">
      <c r="A15" s="49" t="inlineStr">
        <is>
          <t>H10</t>
        </is>
      </c>
      <c r="B15" s="50" t="inlineStr">
        <is>
          <t>Grid prices crash (€60/MWh blended)</t>
        </is>
      </c>
      <c r="C15" s="51" t="n">
        <v>40000</v>
      </c>
      <c r="D15" s="51" t="n">
        <v>12295.04</v>
      </c>
      <c r="E15" s="52" t="n">
        <v>3053.276108799999</v>
      </c>
      <c r="F15" s="53" t="n">
        <v>-5876.326149</v>
      </c>
      <c r="G15" s="53" t="n">
        <v>-11115.456188</v>
      </c>
      <c r="H15" s="54" t="n">
        <v>-5786.093746914612</v>
      </c>
      <c r="I15" s="55" t="inlineStr">
        <is>
          <t>24/7</t>
        </is>
      </c>
    </row>
    <row r="16">
      <c r="A16" s="49" t="inlineStr">
        <is>
          <t>H11</t>
        </is>
      </c>
      <c r="B16" s="50" t="inlineStr">
        <is>
          <t>Grid prices spike (€280/MWh, energy crisis redux)</t>
        </is>
      </c>
      <c r="C16" s="51" t="n">
        <v>40000</v>
      </c>
      <c r="D16" s="51" t="n">
        <v>12295.04</v>
      </c>
      <c r="E16" s="52" t="n">
        <v>1067.967174399999</v>
      </c>
      <c r="F16" s="53" t="n">
        <v>-6399.204417</v>
      </c>
      <c r="G16" s="53" t="n">
        <v>-11115.456188</v>
      </c>
      <c r="H16" s="54" t="n">
        <v>-4977.453726268785</v>
      </c>
      <c r="I16" s="55" t="inlineStr">
        <is>
          <t>24/7</t>
        </is>
      </c>
    </row>
    <row r="17">
      <c r="A17" s="49" t="inlineStr">
        <is>
          <t>H12</t>
        </is>
      </c>
      <c r="B17" s="50" t="inlineStr">
        <is>
          <t>Trifecta best-case for curtailment-only</t>
        </is>
      </c>
      <c r="C17" s="51" t="n">
        <v>22000</v>
      </c>
      <c r="D17" s="51" t="n">
        <v>5438.373333333334</v>
      </c>
      <c r="E17" s="52" t="n">
        <v>14966.10825386666</v>
      </c>
      <c r="F17" s="57" t="n">
        <v>3311.825496866666</v>
      </c>
      <c r="G17" s="53" t="n">
        <v>-1263.460302933334</v>
      </c>
      <c r="H17" s="54" t="n">
        <v>-5283.537210030941</v>
      </c>
      <c r="I17" s="55" t="inlineStr">
        <is>
          <t>24/7</t>
        </is>
      </c>
    </row>
    <row r="19">
      <c r="B19" s="3" t="inlineStr">
        <is>
          <t>Takeaways</t>
        </is>
      </c>
    </row>
    <row r="20" ht="32" customHeight="1">
      <c r="B20" s="15" t="inlineStr">
        <is>
          <t>1. Depreciation dominates: in every scenario where GPU capex &gt;€20k, fixed cost (€11-15k/GPU/yr) exceeds anything saved on electricity. Negative-price hours don't move the needle.</t>
        </is>
      </c>
    </row>
    <row r="21"/>
    <row r="22" ht="32" customHeight="1">
      <c r="B22" s="15" t="inlineStr">
        <is>
          <t>2. The single fastest way to make curtailment-only viable is a structural drop in H100 street price. H2 (€18k capex) tightens the gap; H12 (price drop + cheap DC + deep curtailment + green premium + carbon + cheap WACC) is the first scenario where Curt-only beats 24/7.</t>
        </is>
      </c>
    </row>
    <row r="23"/>
    <row r="24" ht="32" customHeight="1">
      <c r="B24" s="15" t="inlineStr">
        <is>
          <t>3. Energy-price extremes barely matter on their own. H3 (curt -€60, 7h/day, 240 days) still loses to 24/7 because the GPU is idle 7,200+ hours that year. H11 (grid €280) hurts 24/7 most, narrowing the gap but not flipping it.</t>
        </is>
      </c>
    </row>
    <row r="25"/>
    <row r="26" ht="32" customHeight="1">
      <c r="B26" s="15" t="inlineStr">
        <is>
          <t>4. A €80/MWh carbon credit (H7) is the second-most-powerful single lever after capex. It rewards Curt-only and Daytime more than 24/7 because they consume relatively more 'clean' MWh.</t>
        </is>
      </c>
    </row>
    <row r="27"/>
    <row r="28" ht="32" customHeight="1">
      <c r="B28" s="15" t="inlineStr">
        <is>
          <t>5. The 'green premium' (no haircut, €3/hr — H4) helps but isn't enough on its own. Buyers paying full price for interruptible AI compute is a strong assumption.</t>
        </is>
      </c>
    </row>
    <row r="29"/>
    <row r="30" ht="32" customHeight="1">
      <c r="B30" s="15" t="inlineStr">
        <is>
          <t>6. Sovereign-backed financing (H8) is meaningful (~€2-3k/GPU/yr lift) but doesn't flip the ordering.</t>
        </is>
      </c>
    </row>
    <row r="31"/>
    <row r="32" ht="32" customHeight="1">
      <c r="B32" s="15" t="inlineStr">
        <is>
          <t>7. Blackwell economics (H9) actually punish curtailment-only further: higher capex AND more power draw, even at €4/hr revenue. Bigger GPUs raise the stakes for keeping them running.</t>
        </is>
      </c>
    </row>
    <row r="33"/>
    <row r="34" ht="32" customHeight="1">
      <c r="B34" s="15" t="inlineStr">
        <is>
          <t>8. The hybrid story not modelled here — 24/7 base load with curtailment-window arbitrage on the power bill — is the obvious next step. The infrastructure already exists; only the procurement contract differs.</t>
        </is>
      </c>
    </row>
    <row r="35"/>
  </sheetData>
  <mergeCells count="10">
    <mergeCell ref="B22:I23"/>
    <mergeCell ref="B2:I2"/>
    <mergeCell ref="B20:I21"/>
    <mergeCell ref="B34:I35"/>
    <mergeCell ref="B3:I3"/>
    <mergeCell ref="B26:I27"/>
    <mergeCell ref="B28:I29"/>
    <mergeCell ref="B30:I31"/>
    <mergeCell ref="B24:I25"/>
    <mergeCell ref="B32:I33"/>
  </mergeCells>
  <conditionalFormatting sqref="E6:G17">
    <cfRule type="colorScale" priority="1">
      <colorScale>
        <cfvo type="min"/>
        <cfvo type="num" val="0"/>
        <cfvo type="max"/>
        <color rgb="00F8696B"/>
        <color rgb="00FFEB84"/>
        <color rgb="0063BE7B"/>
      </colorScale>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2026-05-17T11:56:31Z</dcterms:created>
  <dcterms:modified xsi:type="dcterms:W3CDTF">2026-05-17T12:25:21Z</dcterms:modified>
</cp:coreProperties>
</file>